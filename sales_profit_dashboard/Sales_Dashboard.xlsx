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Github Projects\Excel Dashboards\Sales\"/>
    </mc:Choice>
  </mc:AlternateContent>
  <xr:revisionPtr revIDLastSave="0" documentId="13_ncr:1_{4BD12D3B-7DDA-43AE-B6CD-4E0D45CA3C1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3" r:id="rId1"/>
    <sheet name="Details" sheetId="2" r:id="rId2"/>
    <sheet name="Dashboard" sheetId="7" r:id="rId3"/>
  </sheets>
  <definedNames>
    <definedName name="_xlcn.WorksheetConnection_Sales_Dashboard.xlsxDetails1" hidden="1">Details[]</definedName>
    <definedName name="_xlcn.WorksheetConnection_Sales_Dashboard.xlsxOrders1" hidden="1">Orders[]</definedName>
    <definedName name="ExternalData_1" localSheetId="1" hidden="1">Details!$A$1:$L$1501</definedName>
    <definedName name="ExternalData_2" localSheetId="0" hidden="1">Orders!$A$1:$G$501</definedName>
  </definedNames>
  <calcPr calcId="191029"/>
  <extLst>
    <ext xmlns:x15="http://schemas.microsoft.com/office/spreadsheetml/2010/11/main" uri="{841E416B-1EF1-43b6-AB56-02D37102CBD5}">
      <x15:pivotCaches>
        <pivotCache cacheId="0" r:id="rId4"/>
      </x15:pivotCaches>
    </ext>
    <ext xmlns:x15="http://schemas.microsoft.com/office/spreadsheetml/2010/11/main" uri="{983426D0-5260-488c-9760-48F4B6AC55F4}">
      <x15:pivotTableReferences>
        <x15:pivotTableReference r:id="rId5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tails" name="Details" connection="WorksheetConnection_Sales_Dashboard.xlsx!Details"/>
          <x15:modelTable id="Orders" name="Orders" connection="WorksheetConnection_Sales_Dashboard.xlsx!Orders"/>
        </x15:modelTables>
        <x15:modelRelationships>
          <x15:modelRelationship fromTable="Details" fromColumn="Order ID" toTable="Orders" toColumn="Ord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2" i="2"/>
  <c r="Q9" i="2"/>
  <c r="Q2" i="2"/>
  <c r="Q8" i="2"/>
  <c r="Q6" i="2"/>
  <c r="Q5" i="2"/>
  <c r="E2" i="2"/>
  <c r="G2" i="2" s="1"/>
  <c r="E3" i="2"/>
  <c r="G3" i="2" s="1"/>
  <c r="E4" i="2"/>
  <c r="G4" i="2" s="1"/>
  <c r="E5" i="2"/>
  <c r="G5" i="2" s="1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23" i="2"/>
  <c r="G23" i="2" s="1"/>
  <c r="E24" i="2"/>
  <c r="G24" i="2" s="1"/>
  <c r="E25" i="2"/>
  <c r="G25" i="2" s="1"/>
  <c r="E26" i="2"/>
  <c r="G26" i="2" s="1"/>
  <c r="E27" i="2"/>
  <c r="G27" i="2" s="1"/>
  <c r="E28" i="2"/>
  <c r="G28" i="2" s="1"/>
  <c r="E29" i="2"/>
  <c r="G29" i="2" s="1"/>
  <c r="E30" i="2"/>
  <c r="G30" i="2" s="1"/>
  <c r="E31" i="2"/>
  <c r="G31" i="2" s="1"/>
  <c r="E32" i="2"/>
  <c r="G32" i="2" s="1"/>
  <c r="E33" i="2"/>
  <c r="G33" i="2" s="1"/>
  <c r="E34" i="2"/>
  <c r="G34" i="2" s="1"/>
  <c r="E35" i="2"/>
  <c r="G35" i="2" s="1"/>
  <c r="E36" i="2"/>
  <c r="G36" i="2" s="1"/>
  <c r="E37" i="2"/>
  <c r="G37" i="2" s="1"/>
  <c r="E38" i="2"/>
  <c r="G38" i="2" s="1"/>
  <c r="E39" i="2"/>
  <c r="G39" i="2" s="1"/>
  <c r="E40" i="2"/>
  <c r="G40" i="2" s="1"/>
  <c r="E41" i="2"/>
  <c r="G41" i="2" s="1"/>
  <c r="E42" i="2"/>
  <c r="G42" i="2" s="1"/>
  <c r="E43" i="2"/>
  <c r="G43" i="2" s="1"/>
  <c r="E44" i="2"/>
  <c r="G44" i="2" s="1"/>
  <c r="E45" i="2"/>
  <c r="G45" i="2" s="1"/>
  <c r="E46" i="2"/>
  <c r="G46" i="2" s="1"/>
  <c r="E47" i="2"/>
  <c r="G47" i="2" s="1"/>
  <c r="E48" i="2"/>
  <c r="G48" i="2" s="1"/>
  <c r="E49" i="2"/>
  <c r="G49" i="2" s="1"/>
  <c r="E50" i="2"/>
  <c r="G50" i="2" s="1"/>
  <c r="E51" i="2"/>
  <c r="G51" i="2" s="1"/>
  <c r="E52" i="2"/>
  <c r="G52" i="2" s="1"/>
  <c r="E53" i="2"/>
  <c r="G53" i="2" s="1"/>
  <c r="E54" i="2"/>
  <c r="G54" i="2" s="1"/>
  <c r="E55" i="2"/>
  <c r="G55" i="2" s="1"/>
  <c r="E56" i="2"/>
  <c r="G56" i="2" s="1"/>
  <c r="E57" i="2"/>
  <c r="G57" i="2" s="1"/>
  <c r="E58" i="2"/>
  <c r="G58" i="2" s="1"/>
  <c r="E59" i="2"/>
  <c r="G59" i="2" s="1"/>
  <c r="E60" i="2"/>
  <c r="G60" i="2" s="1"/>
  <c r="E61" i="2"/>
  <c r="G61" i="2" s="1"/>
  <c r="E62" i="2"/>
  <c r="G62" i="2" s="1"/>
  <c r="E63" i="2"/>
  <c r="G63" i="2" s="1"/>
  <c r="E64" i="2"/>
  <c r="G64" i="2" s="1"/>
  <c r="E65" i="2"/>
  <c r="G65" i="2" s="1"/>
  <c r="E66" i="2"/>
  <c r="G66" i="2" s="1"/>
  <c r="E67" i="2"/>
  <c r="G67" i="2" s="1"/>
  <c r="E68" i="2"/>
  <c r="G68" i="2" s="1"/>
  <c r="E69" i="2"/>
  <c r="G69" i="2" s="1"/>
  <c r="E70" i="2"/>
  <c r="G70" i="2" s="1"/>
  <c r="E71" i="2"/>
  <c r="G71" i="2" s="1"/>
  <c r="E72" i="2"/>
  <c r="G72" i="2" s="1"/>
  <c r="E73" i="2"/>
  <c r="G73" i="2" s="1"/>
  <c r="E74" i="2"/>
  <c r="G74" i="2" s="1"/>
  <c r="E75" i="2"/>
  <c r="G75" i="2" s="1"/>
  <c r="E76" i="2"/>
  <c r="G76" i="2" s="1"/>
  <c r="E77" i="2"/>
  <c r="G77" i="2" s="1"/>
  <c r="E78" i="2"/>
  <c r="G78" i="2" s="1"/>
  <c r="E79" i="2"/>
  <c r="G79" i="2" s="1"/>
  <c r="E80" i="2"/>
  <c r="G80" i="2" s="1"/>
  <c r="E81" i="2"/>
  <c r="G81" i="2" s="1"/>
  <c r="E82" i="2"/>
  <c r="G82" i="2" s="1"/>
  <c r="E83" i="2"/>
  <c r="G83" i="2" s="1"/>
  <c r="E84" i="2"/>
  <c r="G84" i="2" s="1"/>
  <c r="E85" i="2"/>
  <c r="G85" i="2" s="1"/>
  <c r="E86" i="2"/>
  <c r="G86" i="2" s="1"/>
  <c r="E87" i="2"/>
  <c r="G87" i="2" s="1"/>
  <c r="E88" i="2"/>
  <c r="G88" i="2" s="1"/>
  <c r="E89" i="2"/>
  <c r="G89" i="2" s="1"/>
  <c r="E90" i="2"/>
  <c r="G90" i="2" s="1"/>
  <c r="E91" i="2"/>
  <c r="G91" i="2" s="1"/>
  <c r="E92" i="2"/>
  <c r="G92" i="2" s="1"/>
  <c r="E93" i="2"/>
  <c r="G93" i="2" s="1"/>
  <c r="E94" i="2"/>
  <c r="G94" i="2" s="1"/>
  <c r="E95" i="2"/>
  <c r="G95" i="2" s="1"/>
  <c r="E96" i="2"/>
  <c r="G96" i="2" s="1"/>
  <c r="E97" i="2"/>
  <c r="G97" i="2" s="1"/>
  <c r="E98" i="2"/>
  <c r="G98" i="2" s="1"/>
  <c r="E99" i="2"/>
  <c r="G99" i="2" s="1"/>
  <c r="E100" i="2"/>
  <c r="G100" i="2" s="1"/>
  <c r="E101" i="2"/>
  <c r="G101" i="2" s="1"/>
  <c r="E102" i="2"/>
  <c r="G102" i="2" s="1"/>
  <c r="E103" i="2"/>
  <c r="G103" i="2" s="1"/>
  <c r="E104" i="2"/>
  <c r="G104" i="2" s="1"/>
  <c r="E105" i="2"/>
  <c r="G105" i="2" s="1"/>
  <c r="E106" i="2"/>
  <c r="G106" i="2" s="1"/>
  <c r="E107" i="2"/>
  <c r="G107" i="2" s="1"/>
  <c r="E108" i="2"/>
  <c r="G108" i="2" s="1"/>
  <c r="E109" i="2"/>
  <c r="G109" i="2" s="1"/>
  <c r="E110" i="2"/>
  <c r="G110" i="2" s="1"/>
  <c r="E111" i="2"/>
  <c r="G111" i="2" s="1"/>
  <c r="E112" i="2"/>
  <c r="G112" i="2" s="1"/>
  <c r="E113" i="2"/>
  <c r="G113" i="2" s="1"/>
  <c r="E114" i="2"/>
  <c r="G114" i="2" s="1"/>
  <c r="E115" i="2"/>
  <c r="G115" i="2" s="1"/>
  <c r="E116" i="2"/>
  <c r="G116" i="2" s="1"/>
  <c r="E117" i="2"/>
  <c r="G117" i="2" s="1"/>
  <c r="E118" i="2"/>
  <c r="G118" i="2" s="1"/>
  <c r="E119" i="2"/>
  <c r="G119" i="2" s="1"/>
  <c r="E120" i="2"/>
  <c r="G120" i="2" s="1"/>
  <c r="E121" i="2"/>
  <c r="G121" i="2" s="1"/>
  <c r="E122" i="2"/>
  <c r="G122" i="2" s="1"/>
  <c r="E123" i="2"/>
  <c r="G123" i="2" s="1"/>
  <c r="E124" i="2"/>
  <c r="G124" i="2" s="1"/>
  <c r="E125" i="2"/>
  <c r="G125" i="2" s="1"/>
  <c r="E126" i="2"/>
  <c r="G126" i="2" s="1"/>
  <c r="E127" i="2"/>
  <c r="G127" i="2" s="1"/>
  <c r="E128" i="2"/>
  <c r="G128" i="2" s="1"/>
  <c r="E129" i="2"/>
  <c r="G129" i="2" s="1"/>
  <c r="E130" i="2"/>
  <c r="G130" i="2" s="1"/>
  <c r="E131" i="2"/>
  <c r="G131" i="2" s="1"/>
  <c r="E132" i="2"/>
  <c r="G132" i="2" s="1"/>
  <c r="E133" i="2"/>
  <c r="G133" i="2" s="1"/>
  <c r="E134" i="2"/>
  <c r="G134" i="2" s="1"/>
  <c r="E135" i="2"/>
  <c r="G135" i="2" s="1"/>
  <c r="E136" i="2"/>
  <c r="G136" i="2" s="1"/>
  <c r="E137" i="2"/>
  <c r="G137" i="2" s="1"/>
  <c r="E138" i="2"/>
  <c r="G138" i="2" s="1"/>
  <c r="E139" i="2"/>
  <c r="G139" i="2" s="1"/>
  <c r="E140" i="2"/>
  <c r="G140" i="2" s="1"/>
  <c r="E141" i="2"/>
  <c r="G141" i="2" s="1"/>
  <c r="E142" i="2"/>
  <c r="G142" i="2" s="1"/>
  <c r="E143" i="2"/>
  <c r="G143" i="2" s="1"/>
  <c r="E144" i="2"/>
  <c r="G144" i="2" s="1"/>
  <c r="E145" i="2"/>
  <c r="G145" i="2" s="1"/>
  <c r="E146" i="2"/>
  <c r="G146" i="2" s="1"/>
  <c r="E147" i="2"/>
  <c r="G147" i="2" s="1"/>
  <c r="E148" i="2"/>
  <c r="G148" i="2" s="1"/>
  <c r="E149" i="2"/>
  <c r="G149" i="2" s="1"/>
  <c r="E150" i="2"/>
  <c r="G150" i="2" s="1"/>
  <c r="E151" i="2"/>
  <c r="G151" i="2" s="1"/>
  <c r="E152" i="2"/>
  <c r="G152" i="2" s="1"/>
  <c r="E153" i="2"/>
  <c r="G153" i="2" s="1"/>
  <c r="E154" i="2"/>
  <c r="G154" i="2" s="1"/>
  <c r="E155" i="2"/>
  <c r="G155" i="2" s="1"/>
  <c r="E156" i="2"/>
  <c r="G156" i="2" s="1"/>
  <c r="E157" i="2"/>
  <c r="G157" i="2" s="1"/>
  <c r="E158" i="2"/>
  <c r="G158" i="2" s="1"/>
  <c r="E159" i="2"/>
  <c r="G159" i="2" s="1"/>
  <c r="E160" i="2"/>
  <c r="G160" i="2" s="1"/>
  <c r="E161" i="2"/>
  <c r="G161" i="2" s="1"/>
  <c r="E162" i="2"/>
  <c r="G162" i="2" s="1"/>
  <c r="E163" i="2"/>
  <c r="G163" i="2" s="1"/>
  <c r="E164" i="2"/>
  <c r="G164" i="2" s="1"/>
  <c r="E165" i="2"/>
  <c r="G165" i="2" s="1"/>
  <c r="E166" i="2"/>
  <c r="G166" i="2" s="1"/>
  <c r="E167" i="2"/>
  <c r="G167" i="2" s="1"/>
  <c r="E168" i="2"/>
  <c r="G168" i="2" s="1"/>
  <c r="E169" i="2"/>
  <c r="G169" i="2" s="1"/>
  <c r="E170" i="2"/>
  <c r="G170" i="2" s="1"/>
  <c r="E171" i="2"/>
  <c r="G171" i="2" s="1"/>
  <c r="E172" i="2"/>
  <c r="G172" i="2" s="1"/>
  <c r="E173" i="2"/>
  <c r="G173" i="2" s="1"/>
  <c r="E174" i="2"/>
  <c r="G174" i="2" s="1"/>
  <c r="E175" i="2"/>
  <c r="G175" i="2" s="1"/>
  <c r="E176" i="2"/>
  <c r="G176" i="2" s="1"/>
  <c r="E177" i="2"/>
  <c r="G177" i="2" s="1"/>
  <c r="E178" i="2"/>
  <c r="G178" i="2" s="1"/>
  <c r="E179" i="2"/>
  <c r="G179" i="2" s="1"/>
  <c r="E180" i="2"/>
  <c r="G180" i="2" s="1"/>
  <c r="E181" i="2"/>
  <c r="G181" i="2" s="1"/>
  <c r="E182" i="2"/>
  <c r="G182" i="2" s="1"/>
  <c r="E183" i="2"/>
  <c r="G183" i="2" s="1"/>
  <c r="E184" i="2"/>
  <c r="G184" i="2" s="1"/>
  <c r="E185" i="2"/>
  <c r="G185" i="2" s="1"/>
  <c r="E186" i="2"/>
  <c r="G186" i="2" s="1"/>
  <c r="E187" i="2"/>
  <c r="G187" i="2" s="1"/>
  <c r="E188" i="2"/>
  <c r="G188" i="2" s="1"/>
  <c r="E189" i="2"/>
  <c r="G189" i="2" s="1"/>
  <c r="E190" i="2"/>
  <c r="G190" i="2" s="1"/>
  <c r="E191" i="2"/>
  <c r="G191" i="2" s="1"/>
  <c r="E192" i="2"/>
  <c r="G192" i="2" s="1"/>
  <c r="E193" i="2"/>
  <c r="G193" i="2" s="1"/>
  <c r="E194" i="2"/>
  <c r="G194" i="2" s="1"/>
  <c r="E195" i="2"/>
  <c r="G195" i="2" s="1"/>
  <c r="E196" i="2"/>
  <c r="G196" i="2" s="1"/>
  <c r="E197" i="2"/>
  <c r="G197" i="2" s="1"/>
  <c r="E198" i="2"/>
  <c r="G198" i="2" s="1"/>
  <c r="E199" i="2"/>
  <c r="G199" i="2" s="1"/>
  <c r="E200" i="2"/>
  <c r="G200" i="2" s="1"/>
  <c r="E201" i="2"/>
  <c r="G201" i="2" s="1"/>
  <c r="E202" i="2"/>
  <c r="G202" i="2" s="1"/>
  <c r="E203" i="2"/>
  <c r="G203" i="2" s="1"/>
  <c r="E204" i="2"/>
  <c r="G204" i="2" s="1"/>
  <c r="E205" i="2"/>
  <c r="G205" i="2" s="1"/>
  <c r="E206" i="2"/>
  <c r="G206" i="2" s="1"/>
  <c r="E207" i="2"/>
  <c r="G207" i="2" s="1"/>
  <c r="E208" i="2"/>
  <c r="G208" i="2" s="1"/>
  <c r="E209" i="2"/>
  <c r="G209" i="2" s="1"/>
  <c r="E210" i="2"/>
  <c r="G210" i="2" s="1"/>
  <c r="E211" i="2"/>
  <c r="G211" i="2" s="1"/>
  <c r="E212" i="2"/>
  <c r="G212" i="2" s="1"/>
  <c r="E213" i="2"/>
  <c r="G213" i="2" s="1"/>
  <c r="E214" i="2"/>
  <c r="G214" i="2" s="1"/>
  <c r="E215" i="2"/>
  <c r="G215" i="2" s="1"/>
  <c r="E216" i="2"/>
  <c r="G216" i="2" s="1"/>
  <c r="E217" i="2"/>
  <c r="G217" i="2" s="1"/>
  <c r="E218" i="2"/>
  <c r="G218" i="2" s="1"/>
  <c r="E219" i="2"/>
  <c r="G219" i="2" s="1"/>
  <c r="E220" i="2"/>
  <c r="G220" i="2" s="1"/>
  <c r="E221" i="2"/>
  <c r="G221" i="2" s="1"/>
  <c r="E222" i="2"/>
  <c r="G222" i="2" s="1"/>
  <c r="E223" i="2"/>
  <c r="G223" i="2" s="1"/>
  <c r="E224" i="2"/>
  <c r="G224" i="2" s="1"/>
  <c r="E225" i="2"/>
  <c r="G225" i="2" s="1"/>
  <c r="E226" i="2"/>
  <c r="G226" i="2" s="1"/>
  <c r="E227" i="2"/>
  <c r="G227" i="2" s="1"/>
  <c r="E228" i="2"/>
  <c r="G228" i="2" s="1"/>
  <c r="E229" i="2"/>
  <c r="G229" i="2" s="1"/>
  <c r="E230" i="2"/>
  <c r="G230" i="2" s="1"/>
  <c r="E231" i="2"/>
  <c r="G231" i="2" s="1"/>
  <c r="E232" i="2"/>
  <c r="G232" i="2" s="1"/>
  <c r="E233" i="2"/>
  <c r="G233" i="2" s="1"/>
  <c r="E234" i="2"/>
  <c r="G234" i="2" s="1"/>
  <c r="E235" i="2"/>
  <c r="G235" i="2" s="1"/>
  <c r="E236" i="2"/>
  <c r="G236" i="2" s="1"/>
  <c r="E237" i="2"/>
  <c r="G237" i="2" s="1"/>
  <c r="E238" i="2"/>
  <c r="G238" i="2" s="1"/>
  <c r="E239" i="2"/>
  <c r="G239" i="2" s="1"/>
  <c r="E240" i="2"/>
  <c r="G240" i="2" s="1"/>
  <c r="E241" i="2"/>
  <c r="G241" i="2" s="1"/>
  <c r="E242" i="2"/>
  <c r="G242" i="2" s="1"/>
  <c r="E243" i="2"/>
  <c r="G243" i="2" s="1"/>
  <c r="E244" i="2"/>
  <c r="G244" i="2" s="1"/>
  <c r="E245" i="2"/>
  <c r="G245" i="2" s="1"/>
  <c r="E246" i="2"/>
  <c r="G246" i="2" s="1"/>
  <c r="E247" i="2"/>
  <c r="G247" i="2" s="1"/>
  <c r="E248" i="2"/>
  <c r="G248" i="2" s="1"/>
  <c r="E249" i="2"/>
  <c r="G249" i="2" s="1"/>
  <c r="E250" i="2"/>
  <c r="G250" i="2" s="1"/>
  <c r="E251" i="2"/>
  <c r="G251" i="2" s="1"/>
  <c r="E252" i="2"/>
  <c r="G252" i="2" s="1"/>
  <c r="E253" i="2"/>
  <c r="G253" i="2" s="1"/>
  <c r="E254" i="2"/>
  <c r="G254" i="2" s="1"/>
  <c r="E255" i="2"/>
  <c r="G255" i="2" s="1"/>
  <c r="E256" i="2"/>
  <c r="G256" i="2" s="1"/>
  <c r="E257" i="2"/>
  <c r="G257" i="2" s="1"/>
  <c r="E258" i="2"/>
  <c r="G258" i="2" s="1"/>
  <c r="E259" i="2"/>
  <c r="G259" i="2" s="1"/>
  <c r="E260" i="2"/>
  <c r="G260" i="2" s="1"/>
  <c r="E261" i="2"/>
  <c r="G261" i="2" s="1"/>
  <c r="E262" i="2"/>
  <c r="G262" i="2" s="1"/>
  <c r="E263" i="2"/>
  <c r="G263" i="2" s="1"/>
  <c r="E264" i="2"/>
  <c r="G264" i="2" s="1"/>
  <c r="E265" i="2"/>
  <c r="G265" i="2" s="1"/>
  <c r="E266" i="2"/>
  <c r="G266" i="2" s="1"/>
  <c r="E267" i="2"/>
  <c r="G267" i="2" s="1"/>
  <c r="E268" i="2"/>
  <c r="G268" i="2" s="1"/>
  <c r="E269" i="2"/>
  <c r="G269" i="2" s="1"/>
  <c r="E270" i="2"/>
  <c r="G270" i="2" s="1"/>
  <c r="E271" i="2"/>
  <c r="G271" i="2" s="1"/>
  <c r="E272" i="2"/>
  <c r="G272" i="2" s="1"/>
  <c r="E273" i="2"/>
  <c r="G273" i="2" s="1"/>
  <c r="E274" i="2"/>
  <c r="G274" i="2" s="1"/>
  <c r="E275" i="2"/>
  <c r="G275" i="2" s="1"/>
  <c r="E276" i="2"/>
  <c r="G276" i="2" s="1"/>
  <c r="E277" i="2"/>
  <c r="G277" i="2" s="1"/>
  <c r="E278" i="2"/>
  <c r="G278" i="2" s="1"/>
  <c r="E279" i="2"/>
  <c r="G279" i="2" s="1"/>
  <c r="E280" i="2"/>
  <c r="G280" i="2" s="1"/>
  <c r="E281" i="2"/>
  <c r="G281" i="2" s="1"/>
  <c r="E282" i="2"/>
  <c r="G282" i="2" s="1"/>
  <c r="E283" i="2"/>
  <c r="G283" i="2" s="1"/>
  <c r="E284" i="2"/>
  <c r="G284" i="2" s="1"/>
  <c r="E285" i="2"/>
  <c r="G285" i="2" s="1"/>
  <c r="E286" i="2"/>
  <c r="G286" i="2" s="1"/>
  <c r="E287" i="2"/>
  <c r="G287" i="2" s="1"/>
  <c r="E288" i="2"/>
  <c r="G288" i="2" s="1"/>
  <c r="E289" i="2"/>
  <c r="G289" i="2" s="1"/>
  <c r="E290" i="2"/>
  <c r="G290" i="2" s="1"/>
  <c r="E291" i="2"/>
  <c r="G291" i="2" s="1"/>
  <c r="E292" i="2"/>
  <c r="G292" i="2" s="1"/>
  <c r="E293" i="2"/>
  <c r="G293" i="2" s="1"/>
  <c r="E294" i="2"/>
  <c r="G294" i="2" s="1"/>
  <c r="E295" i="2"/>
  <c r="G295" i="2" s="1"/>
  <c r="E296" i="2"/>
  <c r="G296" i="2" s="1"/>
  <c r="E297" i="2"/>
  <c r="G297" i="2" s="1"/>
  <c r="E298" i="2"/>
  <c r="G298" i="2" s="1"/>
  <c r="E299" i="2"/>
  <c r="G299" i="2" s="1"/>
  <c r="E300" i="2"/>
  <c r="G300" i="2" s="1"/>
  <c r="E301" i="2"/>
  <c r="G301" i="2" s="1"/>
  <c r="E302" i="2"/>
  <c r="G302" i="2" s="1"/>
  <c r="E303" i="2"/>
  <c r="G303" i="2" s="1"/>
  <c r="E304" i="2"/>
  <c r="G304" i="2" s="1"/>
  <c r="E305" i="2"/>
  <c r="G305" i="2" s="1"/>
  <c r="E306" i="2"/>
  <c r="G306" i="2" s="1"/>
  <c r="E307" i="2"/>
  <c r="G307" i="2" s="1"/>
  <c r="E308" i="2"/>
  <c r="G308" i="2" s="1"/>
  <c r="E309" i="2"/>
  <c r="G309" i="2" s="1"/>
  <c r="E310" i="2"/>
  <c r="G310" i="2" s="1"/>
  <c r="E311" i="2"/>
  <c r="G311" i="2" s="1"/>
  <c r="E312" i="2"/>
  <c r="G312" i="2" s="1"/>
  <c r="E313" i="2"/>
  <c r="G313" i="2" s="1"/>
  <c r="E314" i="2"/>
  <c r="G314" i="2" s="1"/>
  <c r="E315" i="2"/>
  <c r="G315" i="2" s="1"/>
  <c r="E316" i="2"/>
  <c r="G316" i="2" s="1"/>
  <c r="E317" i="2"/>
  <c r="G317" i="2" s="1"/>
  <c r="E318" i="2"/>
  <c r="G318" i="2" s="1"/>
  <c r="E319" i="2"/>
  <c r="G319" i="2" s="1"/>
  <c r="E320" i="2"/>
  <c r="G320" i="2" s="1"/>
  <c r="E321" i="2"/>
  <c r="G321" i="2" s="1"/>
  <c r="E322" i="2"/>
  <c r="G322" i="2" s="1"/>
  <c r="E323" i="2"/>
  <c r="G323" i="2" s="1"/>
  <c r="E324" i="2"/>
  <c r="G324" i="2" s="1"/>
  <c r="E325" i="2"/>
  <c r="G325" i="2" s="1"/>
  <c r="E326" i="2"/>
  <c r="G326" i="2" s="1"/>
  <c r="E327" i="2"/>
  <c r="G327" i="2" s="1"/>
  <c r="E328" i="2"/>
  <c r="G328" i="2" s="1"/>
  <c r="E329" i="2"/>
  <c r="G329" i="2" s="1"/>
  <c r="E330" i="2"/>
  <c r="G330" i="2" s="1"/>
  <c r="E331" i="2"/>
  <c r="G331" i="2" s="1"/>
  <c r="E332" i="2"/>
  <c r="G332" i="2" s="1"/>
  <c r="E333" i="2"/>
  <c r="G333" i="2" s="1"/>
  <c r="E334" i="2"/>
  <c r="G334" i="2" s="1"/>
  <c r="E335" i="2"/>
  <c r="G335" i="2" s="1"/>
  <c r="E336" i="2"/>
  <c r="G336" i="2" s="1"/>
  <c r="E337" i="2"/>
  <c r="G337" i="2" s="1"/>
  <c r="E338" i="2"/>
  <c r="G338" i="2" s="1"/>
  <c r="E339" i="2"/>
  <c r="G339" i="2" s="1"/>
  <c r="E340" i="2"/>
  <c r="G340" i="2" s="1"/>
  <c r="E341" i="2"/>
  <c r="G341" i="2" s="1"/>
  <c r="E342" i="2"/>
  <c r="G342" i="2" s="1"/>
  <c r="E343" i="2"/>
  <c r="G343" i="2" s="1"/>
  <c r="E344" i="2"/>
  <c r="G344" i="2" s="1"/>
  <c r="E345" i="2"/>
  <c r="G345" i="2" s="1"/>
  <c r="E346" i="2"/>
  <c r="G346" i="2" s="1"/>
  <c r="E347" i="2"/>
  <c r="G347" i="2" s="1"/>
  <c r="E348" i="2"/>
  <c r="G348" i="2" s="1"/>
  <c r="E349" i="2"/>
  <c r="G349" i="2" s="1"/>
  <c r="E350" i="2"/>
  <c r="G350" i="2" s="1"/>
  <c r="E351" i="2"/>
  <c r="G351" i="2" s="1"/>
  <c r="E352" i="2"/>
  <c r="G352" i="2" s="1"/>
  <c r="E353" i="2"/>
  <c r="G353" i="2" s="1"/>
  <c r="E354" i="2"/>
  <c r="G354" i="2" s="1"/>
  <c r="E355" i="2"/>
  <c r="G355" i="2" s="1"/>
  <c r="E356" i="2"/>
  <c r="G356" i="2" s="1"/>
  <c r="E357" i="2"/>
  <c r="G357" i="2" s="1"/>
  <c r="E358" i="2"/>
  <c r="G358" i="2" s="1"/>
  <c r="E359" i="2"/>
  <c r="G359" i="2" s="1"/>
  <c r="E360" i="2"/>
  <c r="G360" i="2" s="1"/>
  <c r="E361" i="2"/>
  <c r="G361" i="2" s="1"/>
  <c r="E362" i="2"/>
  <c r="G362" i="2" s="1"/>
  <c r="E363" i="2"/>
  <c r="G363" i="2" s="1"/>
  <c r="E364" i="2"/>
  <c r="G364" i="2" s="1"/>
  <c r="E365" i="2"/>
  <c r="G365" i="2" s="1"/>
  <c r="E366" i="2"/>
  <c r="G366" i="2" s="1"/>
  <c r="E367" i="2"/>
  <c r="G367" i="2" s="1"/>
  <c r="E368" i="2"/>
  <c r="G368" i="2" s="1"/>
  <c r="E369" i="2"/>
  <c r="G369" i="2" s="1"/>
  <c r="E370" i="2"/>
  <c r="G370" i="2" s="1"/>
  <c r="E371" i="2"/>
  <c r="G371" i="2" s="1"/>
  <c r="E372" i="2"/>
  <c r="G372" i="2" s="1"/>
  <c r="E373" i="2"/>
  <c r="G373" i="2" s="1"/>
  <c r="E374" i="2"/>
  <c r="G374" i="2" s="1"/>
  <c r="E375" i="2"/>
  <c r="G375" i="2" s="1"/>
  <c r="E376" i="2"/>
  <c r="G376" i="2" s="1"/>
  <c r="E377" i="2"/>
  <c r="G377" i="2" s="1"/>
  <c r="E378" i="2"/>
  <c r="G378" i="2" s="1"/>
  <c r="E379" i="2"/>
  <c r="G379" i="2" s="1"/>
  <c r="E380" i="2"/>
  <c r="G380" i="2" s="1"/>
  <c r="E381" i="2"/>
  <c r="G381" i="2" s="1"/>
  <c r="E382" i="2"/>
  <c r="G382" i="2" s="1"/>
  <c r="E383" i="2"/>
  <c r="G383" i="2" s="1"/>
  <c r="E384" i="2"/>
  <c r="G384" i="2" s="1"/>
  <c r="E385" i="2"/>
  <c r="G385" i="2" s="1"/>
  <c r="E386" i="2"/>
  <c r="G386" i="2" s="1"/>
  <c r="E387" i="2"/>
  <c r="G387" i="2" s="1"/>
  <c r="E388" i="2"/>
  <c r="G388" i="2" s="1"/>
  <c r="E389" i="2"/>
  <c r="G389" i="2" s="1"/>
  <c r="E390" i="2"/>
  <c r="G390" i="2" s="1"/>
  <c r="E391" i="2"/>
  <c r="G391" i="2" s="1"/>
  <c r="E392" i="2"/>
  <c r="G392" i="2" s="1"/>
  <c r="E393" i="2"/>
  <c r="G393" i="2" s="1"/>
  <c r="E394" i="2"/>
  <c r="G394" i="2" s="1"/>
  <c r="E395" i="2"/>
  <c r="G395" i="2" s="1"/>
  <c r="E396" i="2"/>
  <c r="G396" i="2" s="1"/>
  <c r="E397" i="2"/>
  <c r="G397" i="2" s="1"/>
  <c r="E398" i="2"/>
  <c r="G398" i="2" s="1"/>
  <c r="E399" i="2"/>
  <c r="G399" i="2" s="1"/>
  <c r="E400" i="2"/>
  <c r="G400" i="2" s="1"/>
  <c r="E401" i="2"/>
  <c r="G401" i="2" s="1"/>
  <c r="E402" i="2"/>
  <c r="G402" i="2" s="1"/>
  <c r="E403" i="2"/>
  <c r="G403" i="2" s="1"/>
  <c r="E404" i="2"/>
  <c r="G404" i="2" s="1"/>
  <c r="E405" i="2"/>
  <c r="G405" i="2" s="1"/>
  <c r="E406" i="2"/>
  <c r="G406" i="2" s="1"/>
  <c r="E407" i="2"/>
  <c r="G407" i="2" s="1"/>
  <c r="E408" i="2"/>
  <c r="G408" i="2" s="1"/>
  <c r="E409" i="2"/>
  <c r="G409" i="2" s="1"/>
  <c r="E410" i="2"/>
  <c r="G410" i="2" s="1"/>
  <c r="E411" i="2"/>
  <c r="G411" i="2" s="1"/>
  <c r="E412" i="2"/>
  <c r="G412" i="2" s="1"/>
  <c r="E413" i="2"/>
  <c r="G413" i="2" s="1"/>
  <c r="E414" i="2"/>
  <c r="G414" i="2" s="1"/>
  <c r="E415" i="2"/>
  <c r="G415" i="2" s="1"/>
  <c r="E416" i="2"/>
  <c r="G416" i="2" s="1"/>
  <c r="E417" i="2"/>
  <c r="G417" i="2" s="1"/>
  <c r="E418" i="2"/>
  <c r="G418" i="2" s="1"/>
  <c r="E419" i="2"/>
  <c r="G419" i="2" s="1"/>
  <c r="E420" i="2"/>
  <c r="G420" i="2" s="1"/>
  <c r="E421" i="2"/>
  <c r="G421" i="2" s="1"/>
  <c r="E422" i="2"/>
  <c r="G422" i="2" s="1"/>
  <c r="E423" i="2"/>
  <c r="G423" i="2" s="1"/>
  <c r="E424" i="2"/>
  <c r="G424" i="2" s="1"/>
  <c r="E425" i="2"/>
  <c r="G425" i="2" s="1"/>
  <c r="E426" i="2"/>
  <c r="G426" i="2" s="1"/>
  <c r="E427" i="2"/>
  <c r="G427" i="2" s="1"/>
  <c r="E428" i="2"/>
  <c r="G428" i="2" s="1"/>
  <c r="E429" i="2"/>
  <c r="G429" i="2" s="1"/>
  <c r="E430" i="2"/>
  <c r="G430" i="2" s="1"/>
  <c r="E431" i="2"/>
  <c r="G431" i="2" s="1"/>
  <c r="E432" i="2"/>
  <c r="G432" i="2" s="1"/>
  <c r="E433" i="2"/>
  <c r="G433" i="2" s="1"/>
  <c r="E434" i="2"/>
  <c r="G434" i="2" s="1"/>
  <c r="E435" i="2"/>
  <c r="G435" i="2" s="1"/>
  <c r="E436" i="2"/>
  <c r="G436" i="2" s="1"/>
  <c r="E437" i="2"/>
  <c r="G437" i="2" s="1"/>
  <c r="E438" i="2"/>
  <c r="G438" i="2" s="1"/>
  <c r="E439" i="2"/>
  <c r="G439" i="2" s="1"/>
  <c r="E440" i="2"/>
  <c r="G440" i="2" s="1"/>
  <c r="E441" i="2"/>
  <c r="G441" i="2" s="1"/>
  <c r="E442" i="2"/>
  <c r="G442" i="2" s="1"/>
  <c r="E443" i="2"/>
  <c r="G443" i="2" s="1"/>
  <c r="E444" i="2"/>
  <c r="G444" i="2" s="1"/>
  <c r="E445" i="2"/>
  <c r="G445" i="2" s="1"/>
  <c r="E446" i="2"/>
  <c r="G446" i="2" s="1"/>
  <c r="E447" i="2"/>
  <c r="G447" i="2" s="1"/>
  <c r="E448" i="2"/>
  <c r="G448" i="2" s="1"/>
  <c r="E449" i="2"/>
  <c r="G449" i="2" s="1"/>
  <c r="E450" i="2"/>
  <c r="G450" i="2" s="1"/>
  <c r="E451" i="2"/>
  <c r="G451" i="2" s="1"/>
  <c r="E452" i="2"/>
  <c r="G452" i="2" s="1"/>
  <c r="E453" i="2"/>
  <c r="G453" i="2" s="1"/>
  <c r="E454" i="2"/>
  <c r="G454" i="2" s="1"/>
  <c r="E455" i="2"/>
  <c r="G455" i="2" s="1"/>
  <c r="E456" i="2"/>
  <c r="G456" i="2" s="1"/>
  <c r="E457" i="2"/>
  <c r="G457" i="2" s="1"/>
  <c r="E458" i="2"/>
  <c r="G458" i="2" s="1"/>
  <c r="E459" i="2"/>
  <c r="G459" i="2" s="1"/>
  <c r="E460" i="2"/>
  <c r="G460" i="2" s="1"/>
  <c r="E461" i="2"/>
  <c r="G461" i="2" s="1"/>
  <c r="E462" i="2"/>
  <c r="G462" i="2" s="1"/>
  <c r="E463" i="2"/>
  <c r="G463" i="2" s="1"/>
  <c r="E464" i="2"/>
  <c r="G464" i="2" s="1"/>
  <c r="E465" i="2"/>
  <c r="G465" i="2" s="1"/>
  <c r="E466" i="2"/>
  <c r="G466" i="2" s="1"/>
  <c r="E467" i="2"/>
  <c r="G467" i="2" s="1"/>
  <c r="E468" i="2"/>
  <c r="G468" i="2" s="1"/>
  <c r="E469" i="2"/>
  <c r="G469" i="2" s="1"/>
  <c r="E470" i="2"/>
  <c r="G470" i="2" s="1"/>
  <c r="E471" i="2"/>
  <c r="G471" i="2" s="1"/>
  <c r="E472" i="2"/>
  <c r="G472" i="2" s="1"/>
  <c r="E473" i="2"/>
  <c r="G473" i="2" s="1"/>
  <c r="E474" i="2"/>
  <c r="G474" i="2" s="1"/>
  <c r="E475" i="2"/>
  <c r="G475" i="2" s="1"/>
  <c r="E476" i="2"/>
  <c r="G476" i="2" s="1"/>
  <c r="E477" i="2"/>
  <c r="G477" i="2" s="1"/>
  <c r="E478" i="2"/>
  <c r="G478" i="2" s="1"/>
  <c r="E479" i="2"/>
  <c r="G479" i="2" s="1"/>
  <c r="E480" i="2"/>
  <c r="G480" i="2" s="1"/>
  <c r="E481" i="2"/>
  <c r="G481" i="2" s="1"/>
  <c r="E482" i="2"/>
  <c r="G482" i="2" s="1"/>
  <c r="E483" i="2"/>
  <c r="G483" i="2" s="1"/>
  <c r="E484" i="2"/>
  <c r="G484" i="2" s="1"/>
  <c r="E485" i="2"/>
  <c r="G485" i="2" s="1"/>
  <c r="E486" i="2"/>
  <c r="G486" i="2" s="1"/>
  <c r="E487" i="2"/>
  <c r="G487" i="2" s="1"/>
  <c r="E488" i="2"/>
  <c r="G488" i="2" s="1"/>
  <c r="E489" i="2"/>
  <c r="G489" i="2" s="1"/>
  <c r="E490" i="2"/>
  <c r="G490" i="2" s="1"/>
  <c r="E491" i="2"/>
  <c r="G491" i="2" s="1"/>
  <c r="E492" i="2"/>
  <c r="G492" i="2" s="1"/>
  <c r="E493" i="2"/>
  <c r="G493" i="2" s="1"/>
  <c r="E494" i="2"/>
  <c r="G494" i="2" s="1"/>
  <c r="E495" i="2"/>
  <c r="G495" i="2" s="1"/>
  <c r="E496" i="2"/>
  <c r="G496" i="2" s="1"/>
  <c r="E497" i="2"/>
  <c r="G497" i="2" s="1"/>
  <c r="E498" i="2"/>
  <c r="G498" i="2" s="1"/>
  <c r="E499" i="2"/>
  <c r="G499" i="2" s="1"/>
  <c r="E500" i="2"/>
  <c r="G500" i="2" s="1"/>
  <c r="E501" i="2"/>
  <c r="G501" i="2" s="1"/>
  <c r="E502" i="2"/>
  <c r="G502" i="2" s="1"/>
  <c r="E503" i="2"/>
  <c r="G503" i="2" s="1"/>
  <c r="E504" i="2"/>
  <c r="G504" i="2" s="1"/>
  <c r="E505" i="2"/>
  <c r="G505" i="2" s="1"/>
  <c r="E506" i="2"/>
  <c r="G506" i="2" s="1"/>
  <c r="E507" i="2"/>
  <c r="G507" i="2" s="1"/>
  <c r="E508" i="2"/>
  <c r="G508" i="2" s="1"/>
  <c r="E509" i="2"/>
  <c r="G509" i="2" s="1"/>
  <c r="E510" i="2"/>
  <c r="G510" i="2" s="1"/>
  <c r="E511" i="2"/>
  <c r="G511" i="2" s="1"/>
  <c r="E512" i="2"/>
  <c r="G512" i="2" s="1"/>
  <c r="E513" i="2"/>
  <c r="G513" i="2" s="1"/>
  <c r="E514" i="2"/>
  <c r="G514" i="2" s="1"/>
  <c r="E515" i="2"/>
  <c r="G515" i="2" s="1"/>
  <c r="E516" i="2"/>
  <c r="G516" i="2" s="1"/>
  <c r="E517" i="2"/>
  <c r="G517" i="2" s="1"/>
  <c r="E518" i="2"/>
  <c r="G518" i="2" s="1"/>
  <c r="E519" i="2"/>
  <c r="G519" i="2" s="1"/>
  <c r="E520" i="2"/>
  <c r="G520" i="2" s="1"/>
  <c r="E521" i="2"/>
  <c r="G521" i="2" s="1"/>
  <c r="E522" i="2"/>
  <c r="G522" i="2" s="1"/>
  <c r="E523" i="2"/>
  <c r="G523" i="2" s="1"/>
  <c r="E524" i="2"/>
  <c r="G524" i="2" s="1"/>
  <c r="E525" i="2"/>
  <c r="G525" i="2" s="1"/>
  <c r="E526" i="2"/>
  <c r="G526" i="2" s="1"/>
  <c r="E527" i="2"/>
  <c r="G527" i="2" s="1"/>
  <c r="E528" i="2"/>
  <c r="G528" i="2" s="1"/>
  <c r="E529" i="2"/>
  <c r="G529" i="2" s="1"/>
  <c r="E530" i="2"/>
  <c r="G530" i="2" s="1"/>
  <c r="E531" i="2"/>
  <c r="G531" i="2" s="1"/>
  <c r="E532" i="2"/>
  <c r="G532" i="2" s="1"/>
  <c r="E533" i="2"/>
  <c r="G533" i="2" s="1"/>
  <c r="E534" i="2"/>
  <c r="G534" i="2" s="1"/>
  <c r="E535" i="2"/>
  <c r="G535" i="2" s="1"/>
  <c r="E536" i="2"/>
  <c r="G536" i="2" s="1"/>
  <c r="E537" i="2"/>
  <c r="G537" i="2" s="1"/>
  <c r="E538" i="2"/>
  <c r="G538" i="2" s="1"/>
  <c r="E539" i="2"/>
  <c r="G539" i="2" s="1"/>
  <c r="E540" i="2"/>
  <c r="G540" i="2" s="1"/>
  <c r="E541" i="2"/>
  <c r="G541" i="2" s="1"/>
  <c r="E542" i="2"/>
  <c r="G542" i="2" s="1"/>
  <c r="E543" i="2"/>
  <c r="G543" i="2" s="1"/>
  <c r="E544" i="2"/>
  <c r="G544" i="2" s="1"/>
  <c r="E545" i="2"/>
  <c r="G545" i="2" s="1"/>
  <c r="E546" i="2"/>
  <c r="G546" i="2" s="1"/>
  <c r="E547" i="2"/>
  <c r="G547" i="2" s="1"/>
  <c r="E548" i="2"/>
  <c r="G548" i="2" s="1"/>
  <c r="E549" i="2"/>
  <c r="G549" i="2" s="1"/>
  <c r="E550" i="2"/>
  <c r="G550" i="2" s="1"/>
  <c r="E551" i="2"/>
  <c r="G551" i="2" s="1"/>
  <c r="E552" i="2"/>
  <c r="G552" i="2" s="1"/>
  <c r="E553" i="2"/>
  <c r="G553" i="2" s="1"/>
  <c r="E554" i="2"/>
  <c r="G554" i="2" s="1"/>
  <c r="E555" i="2"/>
  <c r="G555" i="2" s="1"/>
  <c r="E556" i="2"/>
  <c r="G556" i="2" s="1"/>
  <c r="E557" i="2"/>
  <c r="G557" i="2" s="1"/>
  <c r="E558" i="2"/>
  <c r="G558" i="2" s="1"/>
  <c r="E559" i="2"/>
  <c r="G559" i="2" s="1"/>
  <c r="E560" i="2"/>
  <c r="G560" i="2" s="1"/>
  <c r="E561" i="2"/>
  <c r="G561" i="2" s="1"/>
  <c r="E562" i="2"/>
  <c r="G562" i="2" s="1"/>
  <c r="E563" i="2"/>
  <c r="G563" i="2" s="1"/>
  <c r="E564" i="2"/>
  <c r="G564" i="2" s="1"/>
  <c r="E565" i="2"/>
  <c r="G565" i="2" s="1"/>
  <c r="E566" i="2"/>
  <c r="G566" i="2" s="1"/>
  <c r="E567" i="2"/>
  <c r="G567" i="2" s="1"/>
  <c r="E568" i="2"/>
  <c r="G568" i="2" s="1"/>
  <c r="E569" i="2"/>
  <c r="G569" i="2" s="1"/>
  <c r="E570" i="2"/>
  <c r="G570" i="2" s="1"/>
  <c r="E571" i="2"/>
  <c r="G571" i="2" s="1"/>
  <c r="E572" i="2"/>
  <c r="G572" i="2" s="1"/>
  <c r="E573" i="2"/>
  <c r="G573" i="2" s="1"/>
  <c r="E574" i="2"/>
  <c r="G574" i="2" s="1"/>
  <c r="E575" i="2"/>
  <c r="G575" i="2" s="1"/>
  <c r="E576" i="2"/>
  <c r="G576" i="2" s="1"/>
  <c r="E577" i="2"/>
  <c r="G577" i="2" s="1"/>
  <c r="E578" i="2"/>
  <c r="G578" i="2" s="1"/>
  <c r="E579" i="2"/>
  <c r="G579" i="2" s="1"/>
  <c r="E580" i="2"/>
  <c r="G580" i="2" s="1"/>
  <c r="E581" i="2"/>
  <c r="G581" i="2" s="1"/>
  <c r="E582" i="2"/>
  <c r="G582" i="2" s="1"/>
  <c r="E583" i="2"/>
  <c r="G583" i="2" s="1"/>
  <c r="E584" i="2"/>
  <c r="G584" i="2" s="1"/>
  <c r="E585" i="2"/>
  <c r="G585" i="2" s="1"/>
  <c r="E586" i="2"/>
  <c r="G586" i="2" s="1"/>
  <c r="E587" i="2"/>
  <c r="G587" i="2" s="1"/>
  <c r="E588" i="2"/>
  <c r="G588" i="2" s="1"/>
  <c r="E589" i="2"/>
  <c r="G589" i="2" s="1"/>
  <c r="E590" i="2"/>
  <c r="G590" i="2" s="1"/>
  <c r="E591" i="2"/>
  <c r="G591" i="2" s="1"/>
  <c r="E592" i="2"/>
  <c r="G592" i="2" s="1"/>
  <c r="E593" i="2"/>
  <c r="G593" i="2" s="1"/>
  <c r="E594" i="2"/>
  <c r="G594" i="2" s="1"/>
  <c r="E595" i="2"/>
  <c r="G595" i="2" s="1"/>
  <c r="E596" i="2"/>
  <c r="G596" i="2" s="1"/>
  <c r="E597" i="2"/>
  <c r="G597" i="2" s="1"/>
  <c r="E598" i="2"/>
  <c r="G598" i="2" s="1"/>
  <c r="E599" i="2"/>
  <c r="G599" i="2" s="1"/>
  <c r="E600" i="2"/>
  <c r="G600" i="2" s="1"/>
  <c r="E601" i="2"/>
  <c r="G601" i="2" s="1"/>
  <c r="E602" i="2"/>
  <c r="G602" i="2" s="1"/>
  <c r="E603" i="2"/>
  <c r="G603" i="2" s="1"/>
  <c r="E604" i="2"/>
  <c r="G604" i="2" s="1"/>
  <c r="E605" i="2"/>
  <c r="G605" i="2" s="1"/>
  <c r="E606" i="2"/>
  <c r="G606" i="2" s="1"/>
  <c r="E607" i="2"/>
  <c r="G607" i="2" s="1"/>
  <c r="E608" i="2"/>
  <c r="G608" i="2" s="1"/>
  <c r="E609" i="2"/>
  <c r="G609" i="2" s="1"/>
  <c r="E610" i="2"/>
  <c r="G610" i="2" s="1"/>
  <c r="E611" i="2"/>
  <c r="G611" i="2" s="1"/>
  <c r="E612" i="2"/>
  <c r="G612" i="2" s="1"/>
  <c r="E613" i="2"/>
  <c r="G613" i="2" s="1"/>
  <c r="E614" i="2"/>
  <c r="G614" i="2" s="1"/>
  <c r="E615" i="2"/>
  <c r="G615" i="2" s="1"/>
  <c r="E616" i="2"/>
  <c r="G616" i="2" s="1"/>
  <c r="E617" i="2"/>
  <c r="G617" i="2" s="1"/>
  <c r="E618" i="2"/>
  <c r="G618" i="2" s="1"/>
  <c r="E619" i="2"/>
  <c r="G619" i="2" s="1"/>
  <c r="E620" i="2"/>
  <c r="G620" i="2" s="1"/>
  <c r="E621" i="2"/>
  <c r="G621" i="2" s="1"/>
  <c r="E622" i="2"/>
  <c r="G622" i="2" s="1"/>
  <c r="E623" i="2"/>
  <c r="G623" i="2" s="1"/>
  <c r="E624" i="2"/>
  <c r="G624" i="2" s="1"/>
  <c r="E625" i="2"/>
  <c r="G625" i="2" s="1"/>
  <c r="E626" i="2"/>
  <c r="G626" i="2" s="1"/>
  <c r="E627" i="2"/>
  <c r="G627" i="2" s="1"/>
  <c r="E628" i="2"/>
  <c r="G628" i="2" s="1"/>
  <c r="E629" i="2"/>
  <c r="G629" i="2" s="1"/>
  <c r="E630" i="2"/>
  <c r="G630" i="2" s="1"/>
  <c r="E631" i="2"/>
  <c r="G631" i="2" s="1"/>
  <c r="E632" i="2"/>
  <c r="G632" i="2" s="1"/>
  <c r="E633" i="2"/>
  <c r="G633" i="2" s="1"/>
  <c r="E634" i="2"/>
  <c r="G634" i="2" s="1"/>
  <c r="E635" i="2"/>
  <c r="G635" i="2" s="1"/>
  <c r="E636" i="2"/>
  <c r="G636" i="2" s="1"/>
  <c r="E637" i="2"/>
  <c r="G637" i="2" s="1"/>
  <c r="E638" i="2"/>
  <c r="G638" i="2" s="1"/>
  <c r="E639" i="2"/>
  <c r="G639" i="2" s="1"/>
  <c r="E640" i="2"/>
  <c r="G640" i="2" s="1"/>
  <c r="E641" i="2"/>
  <c r="G641" i="2" s="1"/>
  <c r="E642" i="2"/>
  <c r="G642" i="2" s="1"/>
  <c r="E643" i="2"/>
  <c r="G643" i="2" s="1"/>
  <c r="E644" i="2"/>
  <c r="G644" i="2" s="1"/>
  <c r="E645" i="2"/>
  <c r="G645" i="2" s="1"/>
  <c r="E646" i="2"/>
  <c r="G646" i="2" s="1"/>
  <c r="E647" i="2"/>
  <c r="G647" i="2" s="1"/>
  <c r="E648" i="2"/>
  <c r="G648" i="2" s="1"/>
  <c r="E649" i="2"/>
  <c r="G649" i="2" s="1"/>
  <c r="E650" i="2"/>
  <c r="G650" i="2" s="1"/>
  <c r="E651" i="2"/>
  <c r="G651" i="2" s="1"/>
  <c r="E652" i="2"/>
  <c r="G652" i="2" s="1"/>
  <c r="E653" i="2"/>
  <c r="G653" i="2" s="1"/>
  <c r="E654" i="2"/>
  <c r="G654" i="2" s="1"/>
  <c r="E655" i="2"/>
  <c r="G655" i="2" s="1"/>
  <c r="E656" i="2"/>
  <c r="G656" i="2" s="1"/>
  <c r="E657" i="2"/>
  <c r="G657" i="2" s="1"/>
  <c r="E658" i="2"/>
  <c r="G658" i="2" s="1"/>
  <c r="E659" i="2"/>
  <c r="G659" i="2" s="1"/>
  <c r="E660" i="2"/>
  <c r="G660" i="2" s="1"/>
  <c r="E661" i="2"/>
  <c r="G661" i="2" s="1"/>
  <c r="E662" i="2"/>
  <c r="G662" i="2" s="1"/>
  <c r="E663" i="2"/>
  <c r="G663" i="2" s="1"/>
  <c r="E664" i="2"/>
  <c r="G664" i="2" s="1"/>
  <c r="E665" i="2"/>
  <c r="G665" i="2" s="1"/>
  <c r="E666" i="2"/>
  <c r="G666" i="2" s="1"/>
  <c r="E667" i="2"/>
  <c r="G667" i="2" s="1"/>
  <c r="E668" i="2"/>
  <c r="G668" i="2" s="1"/>
  <c r="E669" i="2"/>
  <c r="G669" i="2" s="1"/>
  <c r="E670" i="2"/>
  <c r="G670" i="2" s="1"/>
  <c r="E671" i="2"/>
  <c r="G671" i="2" s="1"/>
  <c r="E672" i="2"/>
  <c r="G672" i="2" s="1"/>
  <c r="E673" i="2"/>
  <c r="G673" i="2" s="1"/>
  <c r="E674" i="2"/>
  <c r="G674" i="2" s="1"/>
  <c r="E675" i="2"/>
  <c r="G675" i="2" s="1"/>
  <c r="E676" i="2"/>
  <c r="G676" i="2" s="1"/>
  <c r="E677" i="2"/>
  <c r="G677" i="2" s="1"/>
  <c r="E678" i="2"/>
  <c r="G678" i="2" s="1"/>
  <c r="E679" i="2"/>
  <c r="G679" i="2" s="1"/>
  <c r="E680" i="2"/>
  <c r="G680" i="2" s="1"/>
  <c r="E681" i="2"/>
  <c r="G681" i="2" s="1"/>
  <c r="E682" i="2"/>
  <c r="G682" i="2" s="1"/>
  <c r="E683" i="2"/>
  <c r="G683" i="2" s="1"/>
  <c r="E684" i="2"/>
  <c r="G684" i="2" s="1"/>
  <c r="E685" i="2"/>
  <c r="G685" i="2" s="1"/>
  <c r="E686" i="2"/>
  <c r="G686" i="2" s="1"/>
  <c r="E687" i="2"/>
  <c r="G687" i="2" s="1"/>
  <c r="E688" i="2"/>
  <c r="G688" i="2" s="1"/>
  <c r="E689" i="2"/>
  <c r="G689" i="2" s="1"/>
  <c r="E690" i="2"/>
  <c r="G690" i="2" s="1"/>
  <c r="E691" i="2"/>
  <c r="G691" i="2" s="1"/>
  <c r="E692" i="2"/>
  <c r="G692" i="2" s="1"/>
  <c r="E693" i="2"/>
  <c r="G693" i="2" s="1"/>
  <c r="E694" i="2"/>
  <c r="G694" i="2" s="1"/>
  <c r="E695" i="2"/>
  <c r="G695" i="2" s="1"/>
  <c r="E696" i="2"/>
  <c r="G696" i="2" s="1"/>
  <c r="E697" i="2"/>
  <c r="G697" i="2" s="1"/>
  <c r="E698" i="2"/>
  <c r="G698" i="2" s="1"/>
  <c r="E699" i="2"/>
  <c r="G699" i="2" s="1"/>
  <c r="E700" i="2"/>
  <c r="G700" i="2" s="1"/>
  <c r="E701" i="2"/>
  <c r="G701" i="2" s="1"/>
  <c r="E702" i="2"/>
  <c r="G702" i="2" s="1"/>
  <c r="E703" i="2"/>
  <c r="G703" i="2" s="1"/>
  <c r="E704" i="2"/>
  <c r="G704" i="2" s="1"/>
  <c r="E705" i="2"/>
  <c r="G705" i="2" s="1"/>
  <c r="E706" i="2"/>
  <c r="G706" i="2" s="1"/>
  <c r="E707" i="2"/>
  <c r="G707" i="2" s="1"/>
  <c r="E708" i="2"/>
  <c r="G708" i="2" s="1"/>
  <c r="E709" i="2"/>
  <c r="G709" i="2" s="1"/>
  <c r="E710" i="2"/>
  <c r="G710" i="2" s="1"/>
  <c r="E711" i="2"/>
  <c r="G711" i="2" s="1"/>
  <c r="E712" i="2"/>
  <c r="G712" i="2" s="1"/>
  <c r="E713" i="2"/>
  <c r="G713" i="2" s="1"/>
  <c r="E714" i="2"/>
  <c r="G714" i="2" s="1"/>
  <c r="E715" i="2"/>
  <c r="G715" i="2" s="1"/>
  <c r="E716" i="2"/>
  <c r="G716" i="2" s="1"/>
  <c r="E717" i="2"/>
  <c r="G717" i="2" s="1"/>
  <c r="E718" i="2"/>
  <c r="G718" i="2" s="1"/>
  <c r="E719" i="2"/>
  <c r="G719" i="2" s="1"/>
  <c r="E720" i="2"/>
  <c r="G720" i="2" s="1"/>
  <c r="E721" i="2"/>
  <c r="G721" i="2" s="1"/>
  <c r="E722" i="2"/>
  <c r="G722" i="2" s="1"/>
  <c r="E723" i="2"/>
  <c r="G723" i="2" s="1"/>
  <c r="E724" i="2"/>
  <c r="G724" i="2" s="1"/>
  <c r="E725" i="2"/>
  <c r="G725" i="2" s="1"/>
  <c r="E726" i="2"/>
  <c r="G726" i="2" s="1"/>
  <c r="E727" i="2"/>
  <c r="G727" i="2" s="1"/>
  <c r="E728" i="2"/>
  <c r="G728" i="2" s="1"/>
  <c r="E729" i="2"/>
  <c r="G729" i="2" s="1"/>
  <c r="E730" i="2"/>
  <c r="G730" i="2" s="1"/>
  <c r="E731" i="2"/>
  <c r="G731" i="2" s="1"/>
  <c r="E732" i="2"/>
  <c r="G732" i="2" s="1"/>
  <c r="E733" i="2"/>
  <c r="G733" i="2" s="1"/>
  <c r="E734" i="2"/>
  <c r="G734" i="2" s="1"/>
  <c r="E735" i="2"/>
  <c r="G735" i="2" s="1"/>
  <c r="E736" i="2"/>
  <c r="G736" i="2" s="1"/>
  <c r="E737" i="2"/>
  <c r="G737" i="2" s="1"/>
  <c r="E738" i="2"/>
  <c r="G738" i="2" s="1"/>
  <c r="E739" i="2"/>
  <c r="G739" i="2" s="1"/>
  <c r="E740" i="2"/>
  <c r="G740" i="2" s="1"/>
  <c r="E741" i="2"/>
  <c r="G741" i="2" s="1"/>
  <c r="E742" i="2"/>
  <c r="G742" i="2" s="1"/>
  <c r="E743" i="2"/>
  <c r="G743" i="2" s="1"/>
  <c r="E744" i="2"/>
  <c r="G744" i="2" s="1"/>
  <c r="E745" i="2"/>
  <c r="G745" i="2" s="1"/>
  <c r="E746" i="2"/>
  <c r="G746" i="2" s="1"/>
  <c r="E747" i="2"/>
  <c r="G747" i="2" s="1"/>
  <c r="E748" i="2"/>
  <c r="G748" i="2" s="1"/>
  <c r="E749" i="2"/>
  <c r="G749" i="2" s="1"/>
  <c r="E750" i="2"/>
  <c r="G750" i="2" s="1"/>
  <c r="E751" i="2"/>
  <c r="G751" i="2" s="1"/>
  <c r="E752" i="2"/>
  <c r="G752" i="2" s="1"/>
  <c r="E753" i="2"/>
  <c r="G753" i="2" s="1"/>
  <c r="E754" i="2"/>
  <c r="G754" i="2" s="1"/>
  <c r="E755" i="2"/>
  <c r="G755" i="2" s="1"/>
  <c r="E756" i="2"/>
  <c r="G756" i="2" s="1"/>
  <c r="E757" i="2"/>
  <c r="G757" i="2" s="1"/>
  <c r="E758" i="2"/>
  <c r="G758" i="2" s="1"/>
  <c r="E759" i="2"/>
  <c r="G759" i="2" s="1"/>
  <c r="E760" i="2"/>
  <c r="G760" i="2" s="1"/>
  <c r="E761" i="2"/>
  <c r="G761" i="2" s="1"/>
  <c r="E762" i="2"/>
  <c r="G762" i="2" s="1"/>
  <c r="E763" i="2"/>
  <c r="G763" i="2" s="1"/>
  <c r="E764" i="2"/>
  <c r="G764" i="2" s="1"/>
  <c r="E765" i="2"/>
  <c r="G765" i="2" s="1"/>
  <c r="E766" i="2"/>
  <c r="G766" i="2" s="1"/>
  <c r="E767" i="2"/>
  <c r="G767" i="2" s="1"/>
  <c r="E768" i="2"/>
  <c r="G768" i="2" s="1"/>
  <c r="E769" i="2"/>
  <c r="G769" i="2" s="1"/>
  <c r="E770" i="2"/>
  <c r="G770" i="2" s="1"/>
  <c r="E771" i="2"/>
  <c r="G771" i="2" s="1"/>
  <c r="E772" i="2"/>
  <c r="G772" i="2" s="1"/>
  <c r="E773" i="2"/>
  <c r="G773" i="2" s="1"/>
  <c r="E774" i="2"/>
  <c r="G774" i="2" s="1"/>
  <c r="E775" i="2"/>
  <c r="G775" i="2" s="1"/>
  <c r="E776" i="2"/>
  <c r="G776" i="2" s="1"/>
  <c r="E777" i="2"/>
  <c r="G777" i="2" s="1"/>
  <c r="E778" i="2"/>
  <c r="G778" i="2" s="1"/>
  <c r="E779" i="2"/>
  <c r="G779" i="2" s="1"/>
  <c r="E780" i="2"/>
  <c r="G780" i="2" s="1"/>
  <c r="E781" i="2"/>
  <c r="G781" i="2" s="1"/>
  <c r="E782" i="2"/>
  <c r="G782" i="2" s="1"/>
  <c r="E783" i="2"/>
  <c r="G783" i="2" s="1"/>
  <c r="E784" i="2"/>
  <c r="G784" i="2" s="1"/>
  <c r="E785" i="2"/>
  <c r="G785" i="2" s="1"/>
  <c r="E786" i="2"/>
  <c r="G786" i="2" s="1"/>
  <c r="E787" i="2"/>
  <c r="G787" i="2" s="1"/>
  <c r="E788" i="2"/>
  <c r="G788" i="2" s="1"/>
  <c r="E789" i="2"/>
  <c r="G789" i="2" s="1"/>
  <c r="E790" i="2"/>
  <c r="G790" i="2" s="1"/>
  <c r="E791" i="2"/>
  <c r="G791" i="2" s="1"/>
  <c r="E792" i="2"/>
  <c r="G792" i="2" s="1"/>
  <c r="E793" i="2"/>
  <c r="G793" i="2" s="1"/>
  <c r="E794" i="2"/>
  <c r="G794" i="2" s="1"/>
  <c r="E795" i="2"/>
  <c r="G795" i="2" s="1"/>
  <c r="E796" i="2"/>
  <c r="G796" i="2" s="1"/>
  <c r="E797" i="2"/>
  <c r="G797" i="2" s="1"/>
  <c r="E798" i="2"/>
  <c r="G798" i="2" s="1"/>
  <c r="E799" i="2"/>
  <c r="G799" i="2" s="1"/>
  <c r="E800" i="2"/>
  <c r="G800" i="2" s="1"/>
  <c r="E801" i="2"/>
  <c r="G801" i="2" s="1"/>
  <c r="E802" i="2"/>
  <c r="G802" i="2" s="1"/>
  <c r="E803" i="2"/>
  <c r="G803" i="2" s="1"/>
  <c r="E804" i="2"/>
  <c r="G804" i="2" s="1"/>
  <c r="E805" i="2"/>
  <c r="G805" i="2" s="1"/>
  <c r="E806" i="2"/>
  <c r="G806" i="2" s="1"/>
  <c r="E807" i="2"/>
  <c r="G807" i="2" s="1"/>
  <c r="E808" i="2"/>
  <c r="G808" i="2" s="1"/>
  <c r="E809" i="2"/>
  <c r="G809" i="2" s="1"/>
  <c r="E810" i="2"/>
  <c r="G810" i="2" s="1"/>
  <c r="E811" i="2"/>
  <c r="G811" i="2" s="1"/>
  <c r="E812" i="2"/>
  <c r="G812" i="2" s="1"/>
  <c r="E813" i="2"/>
  <c r="G813" i="2" s="1"/>
  <c r="E814" i="2"/>
  <c r="G814" i="2" s="1"/>
  <c r="E815" i="2"/>
  <c r="G815" i="2" s="1"/>
  <c r="E816" i="2"/>
  <c r="G816" i="2" s="1"/>
  <c r="E817" i="2"/>
  <c r="G817" i="2" s="1"/>
  <c r="E818" i="2"/>
  <c r="G818" i="2" s="1"/>
  <c r="E819" i="2"/>
  <c r="G819" i="2" s="1"/>
  <c r="E820" i="2"/>
  <c r="G820" i="2" s="1"/>
  <c r="E821" i="2"/>
  <c r="G821" i="2" s="1"/>
  <c r="E822" i="2"/>
  <c r="G822" i="2" s="1"/>
  <c r="E823" i="2"/>
  <c r="G823" i="2" s="1"/>
  <c r="E824" i="2"/>
  <c r="G824" i="2" s="1"/>
  <c r="E825" i="2"/>
  <c r="G825" i="2" s="1"/>
  <c r="E826" i="2"/>
  <c r="G826" i="2" s="1"/>
  <c r="E827" i="2"/>
  <c r="G827" i="2" s="1"/>
  <c r="E828" i="2"/>
  <c r="G828" i="2" s="1"/>
  <c r="E829" i="2"/>
  <c r="G829" i="2" s="1"/>
  <c r="E830" i="2"/>
  <c r="G830" i="2" s="1"/>
  <c r="E831" i="2"/>
  <c r="G831" i="2" s="1"/>
  <c r="E832" i="2"/>
  <c r="G832" i="2" s="1"/>
  <c r="E833" i="2"/>
  <c r="G833" i="2" s="1"/>
  <c r="E834" i="2"/>
  <c r="G834" i="2" s="1"/>
  <c r="E835" i="2"/>
  <c r="G835" i="2" s="1"/>
  <c r="E836" i="2"/>
  <c r="G836" i="2" s="1"/>
  <c r="E837" i="2"/>
  <c r="G837" i="2" s="1"/>
  <c r="E838" i="2"/>
  <c r="G838" i="2" s="1"/>
  <c r="E839" i="2"/>
  <c r="G839" i="2" s="1"/>
  <c r="E840" i="2"/>
  <c r="G840" i="2" s="1"/>
  <c r="E841" i="2"/>
  <c r="G841" i="2" s="1"/>
  <c r="E842" i="2"/>
  <c r="G842" i="2" s="1"/>
  <c r="E843" i="2"/>
  <c r="G843" i="2" s="1"/>
  <c r="E844" i="2"/>
  <c r="G844" i="2" s="1"/>
  <c r="E845" i="2"/>
  <c r="G845" i="2" s="1"/>
  <c r="E846" i="2"/>
  <c r="G846" i="2" s="1"/>
  <c r="E847" i="2"/>
  <c r="G847" i="2" s="1"/>
  <c r="E848" i="2"/>
  <c r="G848" i="2" s="1"/>
  <c r="E849" i="2"/>
  <c r="G849" i="2" s="1"/>
  <c r="E850" i="2"/>
  <c r="G850" i="2" s="1"/>
  <c r="E851" i="2"/>
  <c r="G851" i="2" s="1"/>
  <c r="E852" i="2"/>
  <c r="G852" i="2" s="1"/>
  <c r="E853" i="2"/>
  <c r="G853" i="2" s="1"/>
  <c r="E854" i="2"/>
  <c r="G854" i="2" s="1"/>
  <c r="E855" i="2"/>
  <c r="G855" i="2" s="1"/>
  <c r="E856" i="2"/>
  <c r="G856" i="2" s="1"/>
  <c r="E857" i="2"/>
  <c r="G857" i="2" s="1"/>
  <c r="E858" i="2"/>
  <c r="G858" i="2" s="1"/>
  <c r="E859" i="2"/>
  <c r="G859" i="2" s="1"/>
  <c r="E860" i="2"/>
  <c r="G860" i="2" s="1"/>
  <c r="E861" i="2"/>
  <c r="G861" i="2" s="1"/>
  <c r="E862" i="2"/>
  <c r="G862" i="2" s="1"/>
  <c r="E863" i="2"/>
  <c r="G863" i="2" s="1"/>
  <c r="E864" i="2"/>
  <c r="G864" i="2" s="1"/>
  <c r="E865" i="2"/>
  <c r="G865" i="2" s="1"/>
  <c r="E866" i="2"/>
  <c r="G866" i="2" s="1"/>
  <c r="E867" i="2"/>
  <c r="G867" i="2" s="1"/>
  <c r="E868" i="2"/>
  <c r="G868" i="2" s="1"/>
  <c r="E869" i="2"/>
  <c r="G869" i="2" s="1"/>
  <c r="E870" i="2"/>
  <c r="G870" i="2" s="1"/>
  <c r="E871" i="2"/>
  <c r="G871" i="2" s="1"/>
  <c r="E872" i="2"/>
  <c r="G872" i="2" s="1"/>
  <c r="E873" i="2"/>
  <c r="G873" i="2" s="1"/>
  <c r="E874" i="2"/>
  <c r="G874" i="2" s="1"/>
  <c r="E875" i="2"/>
  <c r="G875" i="2" s="1"/>
  <c r="E876" i="2"/>
  <c r="G876" i="2" s="1"/>
  <c r="E877" i="2"/>
  <c r="G877" i="2" s="1"/>
  <c r="E878" i="2"/>
  <c r="G878" i="2" s="1"/>
  <c r="E879" i="2"/>
  <c r="G879" i="2" s="1"/>
  <c r="E880" i="2"/>
  <c r="G880" i="2" s="1"/>
  <c r="E881" i="2"/>
  <c r="G881" i="2" s="1"/>
  <c r="E882" i="2"/>
  <c r="G882" i="2" s="1"/>
  <c r="E883" i="2"/>
  <c r="G883" i="2" s="1"/>
  <c r="E884" i="2"/>
  <c r="G884" i="2" s="1"/>
  <c r="E885" i="2"/>
  <c r="G885" i="2" s="1"/>
  <c r="E886" i="2"/>
  <c r="G886" i="2" s="1"/>
  <c r="E887" i="2"/>
  <c r="G887" i="2" s="1"/>
  <c r="E888" i="2"/>
  <c r="G888" i="2" s="1"/>
  <c r="E889" i="2"/>
  <c r="G889" i="2" s="1"/>
  <c r="E890" i="2"/>
  <c r="G890" i="2" s="1"/>
  <c r="E891" i="2"/>
  <c r="G891" i="2" s="1"/>
  <c r="E892" i="2"/>
  <c r="G892" i="2" s="1"/>
  <c r="E893" i="2"/>
  <c r="G893" i="2" s="1"/>
  <c r="E894" i="2"/>
  <c r="G894" i="2" s="1"/>
  <c r="E895" i="2"/>
  <c r="G895" i="2" s="1"/>
  <c r="E896" i="2"/>
  <c r="G896" i="2" s="1"/>
  <c r="E897" i="2"/>
  <c r="G897" i="2" s="1"/>
  <c r="E898" i="2"/>
  <c r="G898" i="2" s="1"/>
  <c r="E899" i="2"/>
  <c r="G899" i="2" s="1"/>
  <c r="E900" i="2"/>
  <c r="G900" i="2" s="1"/>
  <c r="E901" i="2"/>
  <c r="G901" i="2" s="1"/>
  <c r="E902" i="2"/>
  <c r="G902" i="2" s="1"/>
  <c r="E903" i="2"/>
  <c r="G903" i="2" s="1"/>
  <c r="E904" i="2"/>
  <c r="G904" i="2" s="1"/>
  <c r="E905" i="2"/>
  <c r="G905" i="2" s="1"/>
  <c r="E906" i="2"/>
  <c r="G906" i="2" s="1"/>
  <c r="E907" i="2"/>
  <c r="G907" i="2" s="1"/>
  <c r="E908" i="2"/>
  <c r="G908" i="2" s="1"/>
  <c r="E909" i="2"/>
  <c r="G909" i="2" s="1"/>
  <c r="E910" i="2"/>
  <c r="G910" i="2" s="1"/>
  <c r="E911" i="2"/>
  <c r="G911" i="2" s="1"/>
  <c r="E912" i="2"/>
  <c r="G912" i="2" s="1"/>
  <c r="E913" i="2"/>
  <c r="G913" i="2" s="1"/>
  <c r="E914" i="2"/>
  <c r="G914" i="2" s="1"/>
  <c r="E915" i="2"/>
  <c r="G915" i="2" s="1"/>
  <c r="E916" i="2"/>
  <c r="G916" i="2" s="1"/>
  <c r="E917" i="2"/>
  <c r="G917" i="2" s="1"/>
  <c r="E918" i="2"/>
  <c r="G918" i="2" s="1"/>
  <c r="E919" i="2"/>
  <c r="G919" i="2" s="1"/>
  <c r="E920" i="2"/>
  <c r="G920" i="2" s="1"/>
  <c r="E921" i="2"/>
  <c r="G921" i="2" s="1"/>
  <c r="E922" i="2"/>
  <c r="G922" i="2" s="1"/>
  <c r="E923" i="2"/>
  <c r="G923" i="2" s="1"/>
  <c r="E924" i="2"/>
  <c r="G924" i="2" s="1"/>
  <c r="E925" i="2"/>
  <c r="G925" i="2" s="1"/>
  <c r="E926" i="2"/>
  <c r="G926" i="2" s="1"/>
  <c r="E927" i="2"/>
  <c r="G927" i="2" s="1"/>
  <c r="E928" i="2"/>
  <c r="G928" i="2" s="1"/>
  <c r="E929" i="2"/>
  <c r="G929" i="2" s="1"/>
  <c r="E930" i="2"/>
  <c r="G930" i="2" s="1"/>
  <c r="E931" i="2"/>
  <c r="G931" i="2" s="1"/>
  <c r="E932" i="2"/>
  <c r="G932" i="2" s="1"/>
  <c r="E933" i="2"/>
  <c r="G933" i="2" s="1"/>
  <c r="E934" i="2"/>
  <c r="G934" i="2" s="1"/>
  <c r="E935" i="2"/>
  <c r="G935" i="2" s="1"/>
  <c r="E936" i="2"/>
  <c r="G936" i="2" s="1"/>
  <c r="E937" i="2"/>
  <c r="G937" i="2" s="1"/>
  <c r="E938" i="2"/>
  <c r="G938" i="2" s="1"/>
  <c r="E939" i="2"/>
  <c r="G939" i="2" s="1"/>
  <c r="E940" i="2"/>
  <c r="G940" i="2" s="1"/>
  <c r="E941" i="2"/>
  <c r="G941" i="2" s="1"/>
  <c r="E942" i="2"/>
  <c r="G942" i="2" s="1"/>
  <c r="E943" i="2"/>
  <c r="G943" i="2" s="1"/>
  <c r="E944" i="2"/>
  <c r="G944" i="2" s="1"/>
  <c r="E945" i="2"/>
  <c r="G945" i="2" s="1"/>
  <c r="E946" i="2"/>
  <c r="G946" i="2" s="1"/>
  <c r="E947" i="2"/>
  <c r="G947" i="2" s="1"/>
  <c r="E948" i="2"/>
  <c r="G948" i="2" s="1"/>
  <c r="E949" i="2"/>
  <c r="G949" i="2" s="1"/>
  <c r="E950" i="2"/>
  <c r="G950" i="2" s="1"/>
  <c r="E951" i="2"/>
  <c r="G951" i="2" s="1"/>
  <c r="E952" i="2"/>
  <c r="G952" i="2" s="1"/>
  <c r="E953" i="2"/>
  <c r="G953" i="2" s="1"/>
  <c r="E954" i="2"/>
  <c r="G954" i="2" s="1"/>
  <c r="E955" i="2"/>
  <c r="G955" i="2" s="1"/>
  <c r="E956" i="2"/>
  <c r="G956" i="2" s="1"/>
  <c r="E957" i="2"/>
  <c r="G957" i="2" s="1"/>
  <c r="E958" i="2"/>
  <c r="G958" i="2" s="1"/>
  <c r="E959" i="2"/>
  <c r="G959" i="2" s="1"/>
  <c r="E960" i="2"/>
  <c r="G960" i="2" s="1"/>
  <c r="E961" i="2"/>
  <c r="G961" i="2" s="1"/>
  <c r="E962" i="2"/>
  <c r="G962" i="2" s="1"/>
  <c r="E963" i="2"/>
  <c r="G963" i="2" s="1"/>
  <c r="E964" i="2"/>
  <c r="G964" i="2" s="1"/>
  <c r="E965" i="2"/>
  <c r="G965" i="2" s="1"/>
  <c r="E966" i="2"/>
  <c r="G966" i="2" s="1"/>
  <c r="E967" i="2"/>
  <c r="G967" i="2" s="1"/>
  <c r="E968" i="2"/>
  <c r="G968" i="2" s="1"/>
  <c r="E969" i="2"/>
  <c r="G969" i="2" s="1"/>
  <c r="E970" i="2"/>
  <c r="G970" i="2" s="1"/>
  <c r="E971" i="2"/>
  <c r="G971" i="2" s="1"/>
  <c r="E972" i="2"/>
  <c r="G972" i="2" s="1"/>
  <c r="E973" i="2"/>
  <c r="G973" i="2" s="1"/>
  <c r="E974" i="2"/>
  <c r="G974" i="2" s="1"/>
  <c r="E975" i="2"/>
  <c r="G975" i="2" s="1"/>
  <c r="E976" i="2"/>
  <c r="G976" i="2" s="1"/>
  <c r="E977" i="2"/>
  <c r="G977" i="2" s="1"/>
  <c r="E978" i="2"/>
  <c r="G978" i="2" s="1"/>
  <c r="E979" i="2"/>
  <c r="G979" i="2" s="1"/>
  <c r="E980" i="2"/>
  <c r="G980" i="2" s="1"/>
  <c r="E981" i="2"/>
  <c r="G981" i="2" s="1"/>
  <c r="E982" i="2"/>
  <c r="G982" i="2" s="1"/>
  <c r="E983" i="2"/>
  <c r="G983" i="2" s="1"/>
  <c r="E984" i="2"/>
  <c r="G984" i="2" s="1"/>
  <c r="E985" i="2"/>
  <c r="G985" i="2" s="1"/>
  <c r="E986" i="2"/>
  <c r="G986" i="2" s="1"/>
  <c r="E987" i="2"/>
  <c r="G987" i="2" s="1"/>
  <c r="E988" i="2"/>
  <c r="G988" i="2" s="1"/>
  <c r="E989" i="2"/>
  <c r="G989" i="2" s="1"/>
  <c r="E990" i="2"/>
  <c r="G990" i="2" s="1"/>
  <c r="E991" i="2"/>
  <c r="G991" i="2" s="1"/>
  <c r="E992" i="2"/>
  <c r="G992" i="2" s="1"/>
  <c r="E993" i="2"/>
  <c r="G993" i="2" s="1"/>
  <c r="E994" i="2"/>
  <c r="G994" i="2" s="1"/>
  <c r="E995" i="2"/>
  <c r="G995" i="2" s="1"/>
  <c r="E996" i="2"/>
  <c r="G996" i="2" s="1"/>
  <c r="E997" i="2"/>
  <c r="G997" i="2" s="1"/>
  <c r="E998" i="2"/>
  <c r="G998" i="2" s="1"/>
  <c r="E999" i="2"/>
  <c r="G999" i="2" s="1"/>
  <c r="E1000" i="2"/>
  <c r="G1000" i="2" s="1"/>
  <c r="E1001" i="2"/>
  <c r="G1001" i="2" s="1"/>
  <c r="E1002" i="2"/>
  <c r="G1002" i="2" s="1"/>
  <c r="E1003" i="2"/>
  <c r="G1003" i="2" s="1"/>
  <c r="E1004" i="2"/>
  <c r="G1004" i="2" s="1"/>
  <c r="E1005" i="2"/>
  <c r="G1005" i="2" s="1"/>
  <c r="E1006" i="2"/>
  <c r="G1006" i="2" s="1"/>
  <c r="E1007" i="2"/>
  <c r="G1007" i="2" s="1"/>
  <c r="E1008" i="2"/>
  <c r="G1008" i="2" s="1"/>
  <c r="E1009" i="2"/>
  <c r="G1009" i="2" s="1"/>
  <c r="E1010" i="2"/>
  <c r="G1010" i="2" s="1"/>
  <c r="E1011" i="2"/>
  <c r="G1011" i="2" s="1"/>
  <c r="E1012" i="2"/>
  <c r="G1012" i="2" s="1"/>
  <c r="E1013" i="2"/>
  <c r="G1013" i="2" s="1"/>
  <c r="E1014" i="2"/>
  <c r="G1014" i="2" s="1"/>
  <c r="E1015" i="2"/>
  <c r="G1015" i="2" s="1"/>
  <c r="E1016" i="2"/>
  <c r="G1016" i="2" s="1"/>
  <c r="E1017" i="2"/>
  <c r="G1017" i="2" s="1"/>
  <c r="E1018" i="2"/>
  <c r="G1018" i="2" s="1"/>
  <c r="E1019" i="2"/>
  <c r="G1019" i="2" s="1"/>
  <c r="E1020" i="2"/>
  <c r="G1020" i="2" s="1"/>
  <c r="E1021" i="2"/>
  <c r="G1021" i="2" s="1"/>
  <c r="E1022" i="2"/>
  <c r="G1022" i="2" s="1"/>
  <c r="E1023" i="2"/>
  <c r="G1023" i="2" s="1"/>
  <c r="E1024" i="2"/>
  <c r="G1024" i="2" s="1"/>
  <c r="E1025" i="2"/>
  <c r="G1025" i="2" s="1"/>
  <c r="E1026" i="2"/>
  <c r="G1026" i="2" s="1"/>
  <c r="E1027" i="2"/>
  <c r="G1027" i="2" s="1"/>
  <c r="E1028" i="2"/>
  <c r="G1028" i="2" s="1"/>
  <c r="E1029" i="2"/>
  <c r="G1029" i="2" s="1"/>
  <c r="E1030" i="2"/>
  <c r="G1030" i="2" s="1"/>
  <c r="E1031" i="2"/>
  <c r="G1031" i="2" s="1"/>
  <c r="E1032" i="2"/>
  <c r="G1032" i="2" s="1"/>
  <c r="E1033" i="2"/>
  <c r="G1033" i="2" s="1"/>
  <c r="E1034" i="2"/>
  <c r="G1034" i="2" s="1"/>
  <c r="E1035" i="2"/>
  <c r="G1035" i="2" s="1"/>
  <c r="E1036" i="2"/>
  <c r="G1036" i="2" s="1"/>
  <c r="E1037" i="2"/>
  <c r="G1037" i="2" s="1"/>
  <c r="E1038" i="2"/>
  <c r="G1038" i="2" s="1"/>
  <c r="E1039" i="2"/>
  <c r="G1039" i="2" s="1"/>
  <c r="E1040" i="2"/>
  <c r="G1040" i="2" s="1"/>
  <c r="E1041" i="2"/>
  <c r="G1041" i="2" s="1"/>
  <c r="E1042" i="2"/>
  <c r="G1042" i="2" s="1"/>
  <c r="E1043" i="2"/>
  <c r="G1043" i="2" s="1"/>
  <c r="E1044" i="2"/>
  <c r="G1044" i="2" s="1"/>
  <c r="E1045" i="2"/>
  <c r="G1045" i="2" s="1"/>
  <c r="E1046" i="2"/>
  <c r="G1046" i="2" s="1"/>
  <c r="E1047" i="2"/>
  <c r="G1047" i="2" s="1"/>
  <c r="E1048" i="2"/>
  <c r="G1048" i="2" s="1"/>
  <c r="E1049" i="2"/>
  <c r="G1049" i="2" s="1"/>
  <c r="E1050" i="2"/>
  <c r="G1050" i="2" s="1"/>
  <c r="E1051" i="2"/>
  <c r="G1051" i="2" s="1"/>
  <c r="E1052" i="2"/>
  <c r="G1052" i="2" s="1"/>
  <c r="E1053" i="2"/>
  <c r="G1053" i="2" s="1"/>
  <c r="E1054" i="2"/>
  <c r="G1054" i="2" s="1"/>
  <c r="E1055" i="2"/>
  <c r="G1055" i="2" s="1"/>
  <c r="E1056" i="2"/>
  <c r="G1056" i="2" s="1"/>
  <c r="E1057" i="2"/>
  <c r="G1057" i="2" s="1"/>
  <c r="E1058" i="2"/>
  <c r="G1058" i="2" s="1"/>
  <c r="E1059" i="2"/>
  <c r="G1059" i="2" s="1"/>
  <c r="E1060" i="2"/>
  <c r="G1060" i="2" s="1"/>
  <c r="E1061" i="2"/>
  <c r="G1061" i="2" s="1"/>
  <c r="E1062" i="2"/>
  <c r="G1062" i="2" s="1"/>
  <c r="E1063" i="2"/>
  <c r="G1063" i="2" s="1"/>
  <c r="E1064" i="2"/>
  <c r="G1064" i="2" s="1"/>
  <c r="E1065" i="2"/>
  <c r="G1065" i="2" s="1"/>
  <c r="E1066" i="2"/>
  <c r="G1066" i="2" s="1"/>
  <c r="E1067" i="2"/>
  <c r="G1067" i="2" s="1"/>
  <c r="E1068" i="2"/>
  <c r="G1068" i="2" s="1"/>
  <c r="E1069" i="2"/>
  <c r="G1069" i="2" s="1"/>
  <c r="E1070" i="2"/>
  <c r="G1070" i="2" s="1"/>
  <c r="E1071" i="2"/>
  <c r="G1071" i="2" s="1"/>
  <c r="E1072" i="2"/>
  <c r="G1072" i="2" s="1"/>
  <c r="E1073" i="2"/>
  <c r="G1073" i="2" s="1"/>
  <c r="E1074" i="2"/>
  <c r="G1074" i="2" s="1"/>
  <c r="E1075" i="2"/>
  <c r="G1075" i="2" s="1"/>
  <c r="E1076" i="2"/>
  <c r="G1076" i="2" s="1"/>
  <c r="E1077" i="2"/>
  <c r="G1077" i="2" s="1"/>
  <c r="E1078" i="2"/>
  <c r="G1078" i="2" s="1"/>
  <c r="E1079" i="2"/>
  <c r="G1079" i="2" s="1"/>
  <c r="E1080" i="2"/>
  <c r="G1080" i="2" s="1"/>
  <c r="E1081" i="2"/>
  <c r="G1081" i="2" s="1"/>
  <c r="E1082" i="2"/>
  <c r="G1082" i="2" s="1"/>
  <c r="E1083" i="2"/>
  <c r="G1083" i="2" s="1"/>
  <c r="E1084" i="2"/>
  <c r="G1084" i="2" s="1"/>
  <c r="E1085" i="2"/>
  <c r="G1085" i="2" s="1"/>
  <c r="E1086" i="2"/>
  <c r="G1086" i="2" s="1"/>
  <c r="E1087" i="2"/>
  <c r="G1087" i="2" s="1"/>
  <c r="E1088" i="2"/>
  <c r="G1088" i="2" s="1"/>
  <c r="E1089" i="2"/>
  <c r="G1089" i="2" s="1"/>
  <c r="E1090" i="2"/>
  <c r="G1090" i="2" s="1"/>
  <c r="E1091" i="2"/>
  <c r="G1091" i="2" s="1"/>
  <c r="E1092" i="2"/>
  <c r="G1092" i="2" s="1"/>
  <c r="E1093" i="2"/>
  <c r="G1093" i="2" s="1"/>
  <c r="E1094" i="2"/>
  <c r="G1094" i="2" s="1"/>
  <c r="E1095" i="2"/>
  <c r="G1095" i="2" s="1"/>
  <c r="E1096" i="2"/>
  <c r="G1096" i="2" s="1"/>
  <c r="E1097" i="2"/>
  <c r="G1097" i="2" s="1"/>
  <c r="E1098" i="2"/>
  <c r="G1098" i="2" s="1"/>
  <c r="E1099" i="2"/>
  <c r="G1099" i="2" s="1"/>
  <c r="E1100" i="2"/>
  <c r="G1100" i="2" s="1"/>
  <c r="E1101" i="2"/>
  <c r="G1101" i="2" s="1"/>
  <c r="E1102" i="2"/>
  <c r="G1102" i="2" s="1"/>
  <c r="E1103" i="2"/>
  <c r="G1103" i="2" s="1"/>
  <c r="E1104" i="2"/>
  <c r="G1104" i="2" s="1"/>
  <c r="E1105" i="2"/>
  <c r="G1105" i="2" s="1"/>
  <c r="E1106" i="2"/>
  <c r="G1106" i="2" s="1"/>
  <c r="E1107" i="2"/>
  <c r="G1107" i="2" s="1"/>
  <c r="E1108" i="2"/>
  <c r="G1108" i="2" s="1"/>
  <c r="E1109" i="2"/>
  <c r="G1109" i="2" s="1"/>
  <c r="E1110" i="2"/>
  <c r="G1110" i="2" s="1"/>
  <c r="E1111" i="2"/>
  <c r="G1111" i="2" s="1"/>
  <c r="E1112" i="2"/>
  <c r="G1112" i="2" s="1"/>
  <c r="E1113" i="2"/>
  <c r="G1113" i="2" s="1"/>
  <c r="E1114" i="2"/>
  <c r="G1114" i="2" s="1"/>
  <c r="E1115" i="2"/>
  <c r="G1115" i="2" s="1"/>
  <c r="E1116" i="2"/>
  <c r="G1116" i="2" s="1"/>
  <c r="E1117" i="2"/>
  <c r="G1117" i="2" s="1"/>
  <c r="E1118" i="2"/>
  <c r="G1118" i="2" s="1"/>
  <c r="E1119" i="2"/>
  <c r="G1119" i="2" s="1"/>
  <c r="E1120" i="2"/>
  <c r="G1120" i="2" s="1"/>
  <c r="E1121" i="2"/>
  <c r="G1121" i="2" s="1"/>
  <c r="E1122" i="2"/>
  <c r="G1122" i="2" s="1"/>
  <c r="E1123" i="2"/>
  <c r="G1123" i="2" s="1"/>
  <c r="E1124" i="2"/>
  <c r="G1124" i="2" s="1"/>
  <c r="E1125" i="2"/>
  <c r="G1125" i="2" s="1"/>
  <c r="E1126" i="2"/>
  <c r="G1126" i="2" s="1"/>
  <c r="E1127" i="2"/>
  <c r="G1127" i="2" s="1"/>
  <c r="E1128" i="2"/>
  <c r="G1128" i="2" s="1"/>
  <c r="E1129" i="2"/>
  <c r="G1129" i="2" s="1"/>
  <c r="E1130" i="2"/>
  <c r="G1130" i="2" s="1"/>
  <c r="E1131" i="2"/>
  <c r="G1131" i="2" s="1"/>
  <c r="E1132" i="2"/>
  <c r="G1132" i="2" s="1"/>
  <c r="E1133" i="2"/>
  <c r="G1133" i="2" s="1"/>
  <c r="E1134" i="2"/>
  <c r="G1134" i="2" s="1"/>
  <c r="E1135" i="2"/>
  <c r="G1135" i="2" s="1"/>
  <c r="E1136" i="2"/>
  <c r="G1136" i="2" s="1"/>
  <c r="E1137" i="2"/>
  <c r="G1137" i="2" s="1"/>
  <c r="E1138" i="2"/>
  <c r="G1138" i="2" s="1"/>
  <c r="E1139" i="2"/>
  <c r="G1139" i="2" s="1"/>
  <c r="E1140" i="2"/>
  <c r="G1140" i="2" s="1"/>
  <c r="E1141" i="2"/>
  <c r="G1141" i="2" s="1"/>
  <c r="E1142" i="2"/>
  <c r="G1142" i="2" s="1"/>
  <c r="E1143" i="2"/>
  <c r="G1143" i="2" s="1"/>
  <c r="E1144" i="2"/>
  <c r="G1144" i="2" s="1"/>
  <c r="E1145" i="2"/>
  <c r="G1145" i="2" s="1"/>
  <c r="E1146" i="2"/>
  <c r="G1146" i="2" s="1"/>
  <c r="E1147" i="2"/>
  <c r="G1147" i="2" s="1"/>
  <c r="E1148" i="2"/>
  <c r="G1148" i="2" s="1"/>
  <c r="E1149" i="2"/>
  <c r="G1149" i="2" s="1"/>
  <c r="E1150" i="2"/>
  <c r="G1150" i="2" s="1"/>
  <c r="E1151" i="2"/>
  <c r="G1151" i="2" s="1"/>
  <c r="E1152" i="2"/>
  <c r="G1152" i="2" s="1"/>
  <c r="E1153" i="2"/>
  <c r="G1153" i="2" s="1"/>
  <c r="E1154" i="2"/>
  <c r="G1154" i="2" s="1"/>
  <c r="E1155" i="2"/>
  <c r="G1155" i="2" s="1"/>
  <c r="E1156" i="2"/>
  <c r="G1156" i="2" s="1"/>
  <c r="E1157" i="2"/>
  <c r="G1157" i="2" s="1"/>
  <c r="E1158" i="2"/>
  <c r="G1158" i="2" s="1"/>
  <c r="E1159" i="2"/>
  <c r="G1159" i="2" s="1"/>
  <c r="E1160" i="2"/>
  <c r="G1160" i="2" s="1"/>
  <c r="E1161" i="2"/>
  <c r="G1161" i="2" s="1"/>
  <c r="E1162" i="2"/>
  <c r="G1162" i="2" s="1"/>
  <c r="E1163" i="2"/>
  <c r="G1163" i="2" s="1"/>
  <c r="E1164" i="2"/>
  <c r="G1164" i="2" s="1"/>
  <c r="E1165" i="2"/>
  <c r="G1165" i="2" s="1"/>
  <c r="E1166" i="2"/>
  <c r="G1166" i="2" s="1"/>
  <c r="E1167" i="2"/>
  <c r="G1167" i="2" s="1"/>
  <c r="E1168" i="2"/>
  <c r="G1168" i="2" s="1"/>
  <c r="E1169" i="2"/>
  <c r="G1169" i="2" s="1"/>
  <c r="E1170" i="2"/>
  <c r="G1170" i="2" s="1"/>
  <c r="E1171" i="2"/>
  <c r="G1171" i="2" s="1"/>
  <c r="E1172" i="2"/>
  <c r="G1172" i="2" s="1"/>
  <c r="E1173" i="2"/>
  <c r="G1173" i="2" s="1"/>
  <c r="E1174" i="2"/>
  <c r="G1174" i="2" s="1"/>
  <c r="E1175" i="2"/>
  <c r="G1175" i="2" s="1"/>
  <c r="E1176" i="2"/>
  <c r="G1176" i="2" s="1"/>
  <c r="E1177" i="2"/>
  <c r="G1177" i="2" s="1"/>
  <c r="E1178" i="2"/>
  <c r="G1178" i="2" s="1"/>
  <c r="E1179" i="2"/>
  <c r="G1179" i="2" s="1"/>
  <c r="E1180" i="2"/>
  <c r="G1180" i="2" s="1"/>
  <c r="E1181" i="2"/>
  <c r="G1181" i="2" s="1"/>
  <c r="E1182" i="2"/>
  <c r="G1182" i="2" s="1"/>
  <c r="E1183" i="2"/>
  <c r="G1183" i="2" s="1"/>
  <c r="E1184" i="2"/>
  <c r="G1184" i="2" s="1"/>
  <c r="E1185" i="2"/>
  <c r="G1185" i="2" s="1"/>
  <c r="E1186" i="2"/>
  <c r="G1186" i="2" s="1"/>
  <c r="E1187" i="2"/>
  <c r="G1187" i="2" s="1"/>
  <c r="E1188" i="2"/>
  <c r="G1188" i="2" s="1"/>
  <c r="E1189" i="2"/>
  <c r="G1189" i="2" s="1"/>
  <c r="E1190" i="2"/>
  <c r="G1190" i="2" s="1"/>
  <c r="E1191" i="2"/>
  <c r="G1191" i="2" s="1"/>
  <c r="E1192" i="2"/>
  <c r="G1192" i="2" s="1"/>
  <c r="E1193" i="2"/>
  <c r="G1193" i="2" s="1"/>
  <c r="E1194" i="2"/>
  <c r="G1194" i="2" s="1"/>
  <c r="E1195" i="2"/>
  <c r="G1195" i="2" s="1"/>
  <c r="E1196" i="2"/>
  <c r="G1196" i="2" s="1"/>
  <c r="E1197" i="2"/>
  <c r="G1197" i="2" s="1"/>
  <c r="E1198" i="2"/>
  <c r="G1198" i="2" s="1"/>
  <c r="E1199" i="2"/>
  <c r="G1199" i="2" s="1"/>
  <c r="E1200" i="2"/>
  <c r="G1200" i="2" s="1"/>
  <c r="E1201" i="2"/>
  <c r="G1201" i="2" s="1"/>
  <c r="E1202" i="2"/>
  <c r="G1202" i="2" s="1"/>
  <c r="E1203" i="2"/>
  <c r="G1203" i="2" s="1"/>
  <c r="E1204" i="2"/>
  <c r="G1204" i="2" s="1"/>
  <c r="E1205" i="2"/>
  <c r="G1205" i="2" s="1"/>
  <c r="E1206" i="2"/>
  <c r="G1206" i="2" s="1"/>
  <c r="E1207" i="2"/>
  <c r="G1207" i="2" s="1"/>
  <c r="E1208" i="2"/>
  <c r="G1208" i="2" s="1"/>
  <c r="E1209" i="2"/>
  <c r="G1209" i="2" s="1"/>
  <c r="E1210" i="2"/>
  <c r="G1210" i="2" s="1"/>
  <c r="E1211" i="2"/>
  <c r="G1211" i="2" s="1"/>
  <c r="E1212" i="2"/>
  <c r="G1212" i="2" s="1"/>
  <c r="E1213" i="2"/>
  <c r="G1213" i="2" s="1"/>
  <c r="E1214" i="2"/>
  <c r="G1214" i="2" s="1"/>
  <c r="E1215" i="2"/>
  <c r="G1215" i="2" s="1"/>
  <c r="E1216" i="2"/>
  <c r="G1216" i="2" s="1"/>
  <c r="E1217" i="2"/>
  <c r="G1217" i="2" s="1"/>
  <c r="E1218" i="2"/>
  <c r="G1218" i="2" s="1"/>
  <c r="E1219" i="2"/>
  <c r="G1219" i="2" s="1"/>
  <c r="E1220" i="2"/>
  <c r="G1220" i="2" s="1"/>
  <c r="E1221" i="2"/>
  <c r="G1221" i="2" s="1"/>
  <c r="E1222" i="2"/>
  <c r="G1222" i="2" s="1"/>
  <c r="E1223" i="2"/>
  <c r="G1223" i="2" s="1"/>
  <c r="E1224" i="2"/>
  <c r="G1224" i="2" s="1"/>
  <c r="E1225" i="2"/>
  <c r="G1225" i="2" s="1"/>
  <c r="E1226" i="2"/>
  <c r="G1226" i="2" s="1"/>
  <c r="E1227" i="2"/>
  <c r="G1227" i="2" s="1"/>
  <c r="E1228" i="2"/>
  <c r="G1228" i="2" s="1"/>
  <c r="E1229" i="2"/>
  <c r="G1229" i="2" s="1"/>
  <c r="E1230" i="2"/>
  <c r="G1230" i="2" s="1"/>
  <c r="E1231" i="2"/>
  <c r="G1231" i="2" s="1"/>
  <c r="E1232" i="2"/>
  <c r="G1232" i="2" s="1"/>
  <c r="E1233" i="2"/>
  <c r="G1233" i="2" s="1"/>
  <c r="E1234" i="2"/>
  <c r="G1234" i="2" s="1"/>
  <c r="E1235" i="2"/>
  <c r="G1235" i="2" s="1"/>
  <c r="E1236" i="2"/>
  <c r="G1236" i="2" s="1"/>
  <c r="E1237" i="2"/>
  <c r="G1237" i="2" s="1"/>
  <c r="E1238" i="2"/>
  <c r="G1238" i="2" s="1"/>
  <c r="E1239" i="2"/>
  <c r="G1239" i="2" s="1"/>
  <c r="E1240" i="2"/>
  <c r="G1240" i="2" s="1"/>
  <c r="E1241" i="2"/>
  <c r="G1241" i="2" s="1"/>
  <c r="E1242" i="2"/>
  <c r="G1242" i="2" s="1"/>
  <c r="E1243" i="2"/>
  <c r="G1243" i="2" s="1"/>
  <c r="E1244" i="2"/>
  <c r="G1244" i="2" s="1"/>
  <c r="E1245" i="2"/>
  <c r="G1245" i="2" s="1"/>
  <c r="E1246" i="2"/>
  <c r="G1246" i="2" s="1"/>
  <c r="E1247" i="2"/>
  <c r="G1247" i="2" s="1"/>
  <c r="E1248" i="2"/>
  <c r="G1248" i="2" s="1"/>
  <c r="E1249" i="2"/>
  <c r="G1249" i="2" s="1"/>
  <c r="E1250" i="2"/>
  <c r="G1250" i="2" s="1"/>
  <c r="E1251" i="2"/>
  <c r="G1251" i="2" s="1"/>
  <c r="E1252" i="2"/>
  <c r="G1252" i="2" s="1"/>
  <c r="E1253" i="2"/>
  <c r="G1253" i="2" s="1"/>
  <c r="E1254" i="2"/>
  <c r="G1254" i="2" s="1"/>
  <c r="E1255" i="2"/>
  <c r="G1255" i="2" s="1"/>
  <c r="E1256" i="2"/>
  <c r="G1256" i="2" s="1"/>
  <c r="E1257" i="2"/>
  <c r="G1257" i="2" s="1"/>
  <c r="E1258" i="2"/>
  <c r="G1258" i="2" s="1"/>
  <c r="E1259" i="2"/>
  <c r="G1259" i="2" s="1"/>
  <c r="E1260" i="2"/>
  <c r="G1260" i="2" s="1"/>
  <c r="E1261" i="2"/>
  <c r="G1261" i="2" s="1"/>
  <c r="E1262" i="2"/>
  <c r="G1262" i="2" s="1"/>
  <c r="E1263" i="2"/>
  <c r="G1263" i="2" s="1"/>
  <c r="E1264" i="2"/>
  <c r="G1264" i="2" s="1"/>
  <c r="E1265" i="2"/>
  <c r="G1265" i="2" s="1"/>
  <c r="E1266" i="2"/>
  <c r="G1266" i="2" s="1"/>
  <c r="E1267" i="2"/>
  <c r="G1267" i="2" s="1"/>
  <c r="E1268" i="2"/>
  <c r="G1268" i="2" s="1"/>
  <c r="E1269" i="2"/>
  <c r="G1269" i="2" s="1"/>
  <c r="E1270" i="2"/>
  <c r="G1270" i="2" s="1"/>
  <c r="E1271" i="2"/>
  <c r="G1271" i="2" s="1"/>
  <c r="E1272" i="2"/>
  <c r="G1272" i="2" s="1"/>
  <c r="E1273" i="2"/>
  <c r="G1273" i="2" s="1"/>
  <c r="E1274" i="2"/>
  <c r="G1274" i="2" s="1"/>
  <c r="E1275" i="2"/>
  <c r="G1275" i="2" s="1"/>
  <c r="E1276" i="2"/>
  <c r="G1276" i="2" s="1"/>
  <c r="E1277" i="2"/>
  <c r="G1277" i="2" s="1"/>
  <c r="E1278" i="2"/>
  <c r="G1278" i="2" s="1"/>
  <c r="E1279" i="2"/>
  <c r="G1279" i="2" s="1"/>
  <c r="E1280" i="2"/>
  <c r="G1280" i="2" s="1"/>
  <c r="E1281" i="2"/>
  <c r="G1281" i="2" s="1"/>
  <c r="E1282" i="2"/>
  <c r="G1282" i="2" s="1"/>
  <c r="E1283" i="2"/>
  <c r="G1283" i="2" s="1"/>
  <c r="E1284" i="2"/>
  <c r="G1284" i="2" s="1"/>
  <c r="E1285" i="2"/>
  <c r="G1285" i="2" s="1"/>
  <c r="E1286" i="2"/>
  <c r="G1286" i="2" s="1"/>
  <c r="E1287" i="2"/>
  <c r="G1287" i="2" s="1"/>
  <c r="E1288" i="2"/>
  <c r="G1288" i="2" s="1"/>
  <c r="E1289" i="2"/>
  <c r="G1289" i="2" s="1"/>
  <c r="E1290" i="2"/>
  <c r="G1290" i="2" s="1"/>
  <c r="E1291" i="2"/>
  <c r="G1291" i="2" s="1"/>
  <c r="E1292" i="2"/>
  <c r="G1292" i="2" s="1"/>
  <c r="E1293" i="2"/>
  <c r="G1293" i="2" s="1"/>
  <c r="E1294" i="2"/>
  <c r="G1294" i="2" s="1"/>
  <c r="E1295" i="2"/>
  <c r="G1295" i="2" s="1"/>
  <c r="E1296" i="2"/>
  <c r="G1296" i="2" s="1"/>
  <c r="E1297" i="2"/>
  <c r="G1297" i="2" s="1"/>
  <c r="E1298" i="2"/>
  <c r="G1298" i="2" s="1"/>
  <c r="E1299" i="2"/>
  <c r="G1299" i="2" s="1"/>
  <c r="E1300" i="2"/>
  <c r="G1300" i="2" s="1"/>
  <c r="E1301" i="2"/>
  <c r="G1301" i="2" s="1"/>
  <c r="E1302" i="2"/>
  <c r="G1302" i="2" s="1"/>
  <c r="E1303" i="2"/>
  <c r="G1303" i="2" s="1"/>
  <c r="E1304" i="2"/>
  <c r="G1304" i="2" s="1"/>
  <c r="E1305" i="2"/>
  <c r="G1305" i="2" s="1"/>
  <c r="E1306" i="2"/>
  <c r="G1306" i="2" s="1"/>
  <c r="E1307" i="2"/>
  <c r="G1307" i="2" s="1"/>
  <c r="E1308" i="2"/>
  <c r="G1308" i="2" s="1"/>
  <c r="E1309" i="2"/>
  <c r="G1309" i="2" s="1"/>
  <c r="E1310" i="2"/>
  <c r="G1310" i="2" s="1"/>
  <c r="E1311" i="2"/>
  <c r="G1311" i="2" s="1"/>
  <c r="E1312" i="2"/>
  <c r="G1312" i="2" s="1"/>
  <c r="E1313" i="2"/>
  <c r="G1313" i="2" s="1"/>
  <c r="E1314" i="2"/>
  <c r="G1314" i="2" s="1"/>
  <c r="E1315" i="2"/>
  <c r="G1315" i="2" s="1"/>
  <c r="E1316" i="2"/>
  <c r="G1316" i="2" s="1"/>
  <c r="E1317" i="2"/>
  <c r="G1317" i="2" s="1"/>
  <c r="E1318" i="2"/>
  <c r="G1318" i="2" s="1"/>
  <c r="E1319" i="2"/>
  <c r="G1319" i="2" s="1"/>
  <c r="E1320" i="2"/>
  <c r="G1320" i="2" s="1"/>
  <c r="E1321" i="2"/>
  <c r="G1321" i="2" s="1"/>
  <c r="E1322" i="2"/>
  <c r="G1322" i="2" s="1"/>
  <c r="E1323" i="2"/>
  <c r="G1323" i="2" s="1"/>
  <c r="E1324" i="2"/>
  <c r="G1324" i="2" s="1"/>
  <c r="E1325" i="2"/>
  <c r="G1325" i="2" s="1"/>
  <c r="E1326" i="2"/>
  <c r="G1326" i="2" s="1"/>
  <c r="E1327" i="2"/>
  <c r="G1327" i="2" s="1"/>
  <c r="E1328" i="2"/>
  <c r="G1328" i="2" s="1"/>
  <c r="E1329" i="2"/>
  <c r="G1329" i="2" s="1"/>
  <c r="E1330" i="2"/>
  <c r="G1330" i="2" s="1"/>
  <c r="E1331" i="2"/>
  <c r="G1331" i="2" s="1"/>
  <c r="E1332" i="2"/>
  <c r="G1332" i="2" s="1"/>
  <c r="E1333" i="2"/>
  <c r="G1333" i="2" s="1"/>
  <c r="E1334" i="2"/>
  <c r="G1334" i="2" s="1"/>
  <c r="E1335" i="2"/>
  <c r="G1335" i="2" s="1"/>
  <c r="E1336" i="2"/>
  <c r="G1336" i="2" s="1"/>
  <c r="E1337" i="2"/>
  <c r="G1337" i="2" s="1"/>
  <c r="E1338" i="2"/>
  <c r="G1338" i="2" s="1"/>
  <c r="E1339" i="2"/>
  <c r="G1339" i="2" s="1"/>
  <c r="E1340" i="2"/>
  <c r="G1340" i="2" s="1"/>
  <c r="E1341" i="2"/>
  <c r="G1341" i="2" s="1"/>
  <c r="E1342" i="2"/>
  <c r="G1342" i="2" s="1"/>
  <c r="E1343" i="2"/>
  <c r="G1343" i="2" s="1"/>
  <c r="E1344" i="2"/>
  <c r="G1344" i="2" s="1"/>
  <c r="E1345" i="2"/>
  <c r="G1345" i="2" s="1"/>
  <c r="E1346" i="2"/>
  <c r="G1346" i="2" s="1"/>
  <c r="E1347" i="2"/>
  <c r="G1347" i="2" s="1"/>
  <c r="E1348" i="2"/>
  <c r="G1348" i="2" s="1"/>
  <c r="E1349" i="2"/>
  <c r="G1349" i="2" s="1"/>
  <c r="E1350" i="2"/>
  <c r="G1350" i="2" s="1"/>
  <c r="E1351" i="2"/>
  <c r="G1351" i="2" s="1"/>
  <c r="E1352" i="2"/>
  <c r="G1352" i="2" s="1"/>
  <c r="E1353" i="2"/>
  <c r="G1353" i="2" s="1"/>
  <c r="E1354" i="2"/>
  <c r="G1354" i="2" s="1"/>
  <c r="E1355" i="2"/>
  <c r="G1355" i="2" s="1"/>
  <c r="E1356" i="2"/>
  <c r="G1356" i="2" s="1"/>
  <c r="E1357" i="2"/>
  <c r="G1357" i="2" s="1"/>
  <c r="E1358" i="2"/>
  <c r="G1358" i="2" s="1"/>
  <c r="E1359" i="2"/>
  <c r="G1359" i="2" s="1"/>
  <c r="E1360" i="2"/>
  <c r="G1360" i="2" s="1"/>
  <c r="E1361" i="2"/>
  <c r="G1361" i="2" s="1"/>
  <c r="E1362" i="2"/>
  <c r="G1362" i="2" s="1"/>
  <c r="E1363" i="2"/>
  <c r="G1363" i="2" s="1"/>
  <c r="E1364" i="2"/>
  <c r="G1364" i="2" s="1"/>
  <c r="E1365" i="2"/>
  <c r="G1365" i="2" s="1"/>
  <c r="E1366" i="2"/>
  <c r="G1366" i="2" s="1"/>
  <c r="E1367" i="2"/>
  <c r="G1367" i="2" s="1"/>
  <c r="E1368" i="2"/>
  <c r="G1368" i="2" s="1"/>
  <c r="E1369" i="2"/>
  <c r="G1369" i="2" s="1"/>
  <c r="E1370" i="2"/>
  <c r="G1370" i="2" s="1"/>
  <c r="E1371" i="2"/>
  <c r="G1371" i="2" s="1"/>
  <c r="E1372" i="2"/>
  <c r="G1372" i="2" s="1"/>
  <c r="E1373" i="2"/>
  <c r="G1373" i="2" s="1"/>
  <c r="E1374" i="2"/>
  <c r="G1374" i="2" s="1"/>
  <c r="E1375" i="2"/>
  <c r="G1375" i="2" s="1"/>
  <c r="E1376" i="2"/>
  <c r="G1376" i="2" s="1"/>
  <c r="E1377" i="2"/>
  <c r="G1377" i="2" s="1"/>
  <c r="E1378" i="2"/>
  <c r="G1378" i="2" s="1"/>
  <c r="E1379" i="2"/>
  <c r="G1379" i="2" s="1"/>
  <c r="E1380" i="2"/>
  <c r="G1380" i="2" s="1"/>
  <c r="E1381" i="2"/>
  <c r="G1381" i="2" s="1"/>
  <c r="E1382" i="2"/>
  <c r="G1382" i="2" s="1"/>
  <c r="E1383" i="2"/>
  <c r="G1383" i="2" s="1"/>
  <c r="E1384" i="2"/>
  <c r="G1384" i="2" s="1"/>
  <c r="E1385" i="2"/>
  <c r="G1385" i="2" s="1"/>
  <c r="E1386" i="2"/>
  <c r="G1386" i="2" s="1"/>
  <c r="E1387" i="2"/>
  <c r="G1387" i="2" s="1"/>
  <c r="E1388" i="2"/>
  <c r="G1388" i="2" s="1"/>
  <c r="E1389" i="2"/>
  <c r="G1389" i="2" s="1"/>
  <c r="E1390" i="2"/>
  <c r="G1390" i="2" s="1"/>
  <c r="E1391" i="2"/>
  <c r="G1391" i="2" s="1"/>
  <c r="E1392" i="2"/>
  <c r="G1392" i="2" s="1"/>
  <c r="E1393" i="2"/>
  <c r="G1393" i="2" s="1"/>
  <c r="E1394" i="2"/>
  <c r="G1394" i="2" s="1"/>
  <c r="E1395" i="2"/>
  <c r="G1395" i="2" s="1"/>
  <c r="E1396" i="2"/>
  <c r="G1396" i="2" s="1"/>
  <c r="E1397" i="2"/>
  <c r="G1397" i="2" s="1"/>
  <c r="E1398" i="2"/>
  <c r="G1398" i="2" s="1"/>
  <c r="E1399" i="2"/>
  <c r="G1399" i="2" s="1"/>
  <c r="E1400" i="2"/>
  <c r="G1400" i="2" s="1"/>
  <c r="E1401" i="2"/>
  <c r="G1401" i="2" s="1"/>
  <c r="E1402" i="2"/>
  <c r="G1402" i="2" s="1"/>
  <c r="E1403" i="2"/>
  <c r="G1403" i="2" s="1"/>
  <c r="E1404" i="2"/>
  <c r="G1404" i="2" s="1"/>
  <c r="E1405" i="2"/>
  <c r="G1405" i="2" s="1"/>
  <c r="E1406" i="2"/>
  <c r="G1406" i="2" s="1"/>
  <c r="E1407" i="2"/>
  <c r="G1407" i="2" s="1"/>
  <c r="E1408" i="2"/>
  <c r="G1408" i="2" s="1"/>
  <c r="E1409" i="2"/>
  <c r="G1409" i="2" s="1"/>
  <c r="E1410" i="2"/>
  <c r="G1410" i="2" s="1"/>
  <c r="E1411" i="2"/>
  <c r="G1411" i="2" s="1"/>
  <c r="E1412" i="2"/>
  <c r="G1412" i="2" s="1"/>
  <c r="E1413" i="2"/>
  <c r="G1413" i="2" s="1"/>
  <c r="E1414" i="2"/>
  <c r="G1414" i="2" s="1"/>
  <c r="E1415" i="2"/>
  <c r="G1415" i="2" s="1"/>
  <c r="E1416" i="2"/>
  <c r="G1416" i="2" s="1"/>
  <c r="E1417" i="2"/>
  <c r="G1417" i="2" s="1"/>
  <c r="E1418" i="2"/>
  <c r="G1418" i="2" s="1"/>
  <c r="E1419" i="2"/>
  <c r="G1419" i="2" s="1"/>
  <c r="E1420" i="2"/>
  <c r="G1420" i="2" s="1"/>
  <c r="E1421" i="2"/>
  <c r="G1421" i="2" s="1"/>
  <c r="E1422" i="2"/>
  <c r="G1422" i="2" s="1"/>
  <c r="E1423" i="2"/>
  <c r="G1423" i="2" s="1"/>
  <c r="E1424" i="2"/>
  <c r="G1424" i="2" s="1"/>
  <c r="E1425" i="2"/>
  <c r="G1425" i="2" s="1"/>
  <c r="E1426" i="2"/>
  <c r="G1426" i="2" s="1"/>
  <c r="E1427" i="2"/>
  <c r="G1427" i="2" s="1"/>
  <c r="E1428" i="2"/>
  <c r="G1428" i="2" s="1"/>
  <c r="E1429" i="2"/>
  <c r="G1429" i="2" s="1"/>
  <c r="E1430" i="2"/>
  <c r="G1430" i="2" s="1"/>
  <c r="E1431" i="2"/>
  <c r="G1431" i="2" s="1"/>
  <c r="E1432" i="2"/>
  <c r="G1432" i="2" s="1"/>
  <c r="E1433" i="2"/>
  <c r="G1433" i="2" s="1"/>
  <c r="E1434" i="2"/>
  <c r="G1434" i="2" s="1"/>
  <c r="E1435" i="2"/>
  <c r="G1435" i="2" s="1"/>
  <c r="E1436" i="2"/>
  <c r="G1436" i="2" s="1"/>
  <c r="E1437" i="2"/>
  <c r="G1437" i="2" s="1"/>
  <c r="E1438" i="2"/>
  <c r="G1438" i="2" s="1"/>
  <c r="E1439" i="2"/>
  <c r="G1439" i="2" s="1"/>
  <c r="E1440" i="2"/>
  <c r="G1440" i="2" s="1"/>
  <c r="E1441" i="2"/>
  <c r="G1441" i="2" s="1"/>
  <c r="E1442" i="2"/>
  <c r="G1442" i="2" s="1"/>
  <c r="E1443" i="2"/>
  <c r="G1443" i="2" s="1"/>
  <c r="E1444" i="2"/>
  <c r="G1444" i="2" s="1"/>
  <c r="E1445" i="2"/>
  <c r="G1445" i="2" s="1"/>
  <c r="E1446" i="2"/>
  <c r="G1446" i="2" s="1"/>
  <c r="E1447" i="2"/>
  <c r="G1447" i="2" s="1"/>
  <c r="E1448" i="2"/>
  <c r="G1448" i="2" s="1"/>
  <c r="E1449" i="2"/>
  <c r="G1449" i="2" s="1"/>
  <c r="E1450" i="2"/>
  <c r="G1450" i="2" s="1"/>
  <c r="E1451" i="2"/>
  <c r="G1451" i="2" s="1"/>
  <c r="E1452" i="2"/>
  <c r="G1452" i="2" s="1"/>
  <c r="E1453" i="2"/>
  <c r="G1453" i="2" s="1"/>
  <c r="E1454" i="2"/>
  <c r="G1454" i="2" s="1"/>
  <c r="E1455" i="2"/>
  <c r="G1455" i="2" s="1"/>
  <c r="E1456" i="2"/>
  <c r="G1456" i="2" s="1"/>
  <c r="E1457" i="2"/>
  <c r="G1457" i="2" s="1"/>
  <c r="E1458" i="2"/>
  <c r="G1458" i="2" s="1"/>
  <c r="E1459" i="2"/>
  <c r="G1459" i="2" s="1"/>
  <c r="E1460" i="2"/>
  <c r="G1460" i="2" s="1"/>
  <c r="E1461" i="2"/>
  <c r="G1461" i="2" s="1"/>
  <c r="E1462" i="2"/>
  <c r="G1462" i="2" s="1"/>
  <c r="E1463" i="2"/>
  <c r="G1463" i="2" s="1"/>
  <c r="E1464" i="2"/>
  <c r="G1464" i="2" s="1"/>
  <c r="E1465" i="2"/>
  <c r="G1465" i="2" s="1"/>
  <c r="E1466" i="2"/>
  <c r="G1466" i="2" s="1"/>
  <c r="E1467" i="2"/>
  <c r="G1467" i="2" s="1"/>
  <c r="E1468" i="2"/>
  <c r="G1468" i="2" s="1"/>
  <c r="E1469" i="2"/>
  <c r="G1469" i="2" s="1"/>
  <c r="E1470" i="2"/>
  <c r="G1470" i="2" s="1"/>
  <c r="E1471" i="2"/>
  <c r="G1471" i="2" s="1"/>
  <c r="E1472" i="2"/>
  <c r="G1472" i="2" s="1"/>
  <c r="E1473" i="2"/>
  <c r="G1473" i="2" s="1"/>
  <c r="E1474" i="2"/>
  <c r="G1474" i="2" s="1"/>
  <c r="E1475" i="2"/>
  <c r="G1475" i="2" s="1"/>
  <c r="E1476" i="2"/>
  <c r="G1476" i="2" s="1"/>
  <c r="E1477" i="2"/>
  <c r="G1477" i="2" s="1"/>
  <c r="E1478" i="2"/>
  <c r="G1478" i="2" s="1"/>
  <c r="E1479" i="2"/>
  <c r="G1479" i="2" s="1"/>
  <c r="E1480" i="2"/>
  <c r="G1480" i="2" s="1"/>
  <c r="E1481" i="2"/>
  <c r="G1481" i="2" s="1"/>
  <c r="E1482" i="2"/>
  <c r="G1482" i="2" s="1"/>
  <c r="E1483" i="2"/>
  <c r="G1483" i="2" s="1"/>
  <c r="E1484" i="2"/>
  <c r="G1484" i="2" s="1"/>
  <c r="E1485" i="2"/>
  <c r="G1485" i="2" s="1"/>
  <c r="E1486" i="2"/>
  <c r="G1486" i="2" s="1"/>
  <c r="E1487" i="2"/>
  <c r="G1487" i="2" s="1"/>
  <c r="E1488" i="2"/>
  <c r="G1488" i="2" s="1"/>
  <c r="E1489" i="2"/>
  <c r="G1489" i="2" s="1"/>
  <c r="E1490" i="2"/>
  <c r="G1490" i="2" s="1"/>
  <c r="E1491" i="2"/>
  <c r="G1491" i="2" s="1"/>
  <c r="E1492" i="2"/>
  <c r="G1492" i="2" s="1"/>
  <c r="E1493" i="2"/>
  <c r="G1493" i="2" s="1"/>
  <c r="E1494" i="2"/>
  <c r="G1494" i="2" s="1"/>
  <c r="E1495" i="2"/>
  <c r="G1495" i="2" s="1"/>
  <c r="E1496" i="2"/>
  <c r="G1496" i="2" s="1"/>
  <c r="E1497" i="2"/>
  <c r="G1497" i="2" s="1"/>
  <c r="E1498" i="2"/>
  <c r="G1498" i="2" s="1"/>
  <c r="E1499" i="2"/>
  <c r="G1499" i="2" s="1"/>
  <c r="E1500" i="2"/>
  <c r="G1500" i="2" s="1"/>
  <c r="E1501" i="2"/>
  <c r="G1501" i="2" s="1"/>
  <c r="X11" i="2" l="1"/>
  <c r="X2" i="2"/>
  <c r="X13" i="2"/>
  <c r="X5" i="2"/>
  <c r="X10" i="2"/>
  <c r="X8" i="2"/>
  <c r="X12" i="2"/>
  <c r="X3" i="2"/>
  <c r="Y3" i="2" s="1"/>
  <c r="X7" i="2"/>
  <c r="X9" i="2"/>
  <c r="X6" i="2"/>
  <c r="X4" i="2"/>
  <c r="Y4" i="2" l="1"/>
  <c r="Y11" i="2"/>
  <c r="Y7" i="2"/>
  <c r="Y12" i="2"/>
  <c r="Y9" i="2"/>
  <c r="Y8" i="2"/>
  <c r="Y10" i="2"/>
  <c r="Y13" i="2"/>
  <c r="Y6" i="2"/>
  <c r="Y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ECABB6-F2B8-41E3-89BD-F5F2AEDA510F}" keepAlive="1" name="Query - Details" description="Connection to the 'Details' query in the workbook." type="5" refreshedVersion="8" background="1" saveData="1">
    <dbPr connection="Provider=Microsoft.Mashup.OleDb.1;Data Source=$Workbook$;Location=Details;Extended Properties=&quot;&quot;" command="SELECT * FROM [Details]"/>
  </connection>
  <connection id="2" xr16:uid="{70075A07-317D-40F0-BD02-EA18EC0933AA}" keepAlive="1" name="Query - Details (2)" description="Connection to the 'Details (2)' query in the workbook." type="5" refreshedVersion="8" background="1" saveData="1">
    <dbPr connection="Provider=Microsoft.Mashup.OleDb.1;Data Source=$Workbook$;Location=&quot;Details (2)&quot;;Extended Properties=&quot;&quot;" command="SELECT * FROM [Details (2)]"/>
  </connection>
  <connection id="3" xr16:uid="{E747286A-3280-4A94-ADD4-09316CD5F451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47C2347F-DE8F-4F7C-B7BC-9356E486670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2EB6330B-497C-4360-A1B5-6574EC140B9F}" name="WorksheetConnection_Sales_Dashboard.xlsx!Details" type="102" refreshedVersion="8" minRefreshableVersion="5">
    <extLst>
      <ext xmlns:x15="http://schemas.microsoft.com/office/spreadsheetml/2010/11/main" uri="{DE250136-89BD-433C-8126-D09CA5730AF9}">
        <x15:connection id="Details" autoDelete="1">
          <x15:rangePr sourceName="_xlcn.WorksheetConnection_Sales_Dashboard.xlsxDetails1"/>
        </x15:connection>
      </ext>
    </extLst>
  </connection>
  <connection id="6" xr16:uid="{471D173D-6837-469B-B7DD-F9BDBADA9387}" name="WorksheetConnection_Sales_Dashboard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Sales_Dashboard.xlsxOrders1"/>
        </x15:connection>
      </ext>
    </extLst>
  </connection>
</connections>
</file>

<file path=xl/sharedStrings.xml><?xml version="1.0" encoding="utf-8"?>
<sst xmlns="http://schemas.openxmlformats.org/spreadsheetml/2006/main" count="11571" uniqueCount="954">
  <si>
    <t>Order ID</t>
  </si>
  <si>
    <t>Amount</t>
  </si>
  <si>
    <t>Profit</t>
  </si>
  <si>
    <t>Quantity</t>
  </si>
  <si>
    <t>Category</t>
  </si>
  <si>
    <t>Sub-Category</t>
  </si>
  <si>
    <t>PaymentMode</t>
  </si>
  <si>
    <t>B-25761</t>
  </si>
  <si>
    <t>Clothing</t>
  </si>
  <si>
    <t>Saree</t>
  </si>
  <si>
    <t>COD</t>
  </si>
  <si>
    <t>B-25679</t>
  </si>
  <si>
    <t>B-25693</t>
  </si>
  <si>
    <t>Electronics</t>
  </si>
  <si>
    <t>Phones</t>
  </si>
  <si>
    <t>B-25664</t>
  </si>
  <si>
    <t>Furniture</t>
  </si>
  <si>
    <t>Bookcases</t>
  </si>
  <si>
    <t>UPI</t>
  </si>
  <si>
    <t>B-25645</t>
  </si>
  <si>
    <t>Printers</t>
  </si>
  <si>
    <t>B-25678</t>
  </si>
  <si>
    <t>B-25720</t>
  </si>
  <si>
    <t>Chairs</t>
  </si>
  <si>
    <t>B-25750</t>
  </si>
  <si>
    <t>B-25603</t>
  </si>
  <si>
    <t>B-25752</t>
  </si>
  <si>
    <t>Credit Card</t>
  </si>
  <si>
    <t>B-25723</t>
  </si>
  <si>
    <t>Stole</t>
  </si>
  <si>
    <t>B-25648</t>
  </si>
  <si>
    <t>B-25699</t>
  </si>
  <si>
    <t>Furnishings</t>
  </si>
  <si>
    <t>B-25662</t>
  </si>
  <si>
    <t>Electronic Games</t>
  </si>
  <si>
    <t>B-25999</t>
  </si>
  <si>
    <t>B-25672</t>
  </si>
  <si>
    <t>B-25626</t>
  </si>
  <si>
    <t>B-25983</t>
  </si>
  <si>
    <t>B-25783</t>
  </si>
  <si>
    <t>B-25923</t>
  </si>
  <si>
    <t>Trousers</t>
  </si>
  <si>
    <t>Debit Card</t>
  </si>
  <si>
    <t>B-25751</t>
  </si>
  <si>
    <t>Kurti</t>
  </si>
  <si>
    <t>B-25710</t>
  </si>
  <si>
    <t>T-shirt</t>
  </si>
  <si>
    <t>B-25735</t>
  </si>
  <si>
    <t>Hankerchief</t>
  </si>
  <si>
    <t>B-25643</t>
  </si>
  <si>
    <t>B-25697</t>
  </si>
  <si>
    <t>B-25707</t>
  </si>
  <si>
    <t>B-25641</t>
  </si>
  <si>
    <t>B-25796</t>
  </si>
  <si>
    <t>B-25709</t>
  </si>
  <si>
    <t>Accessories</t>
  </si>
  <si>
    <t>B-25743</t>
  </si>
  <si>
    <t>B-25696</t>
  </si>
  <si>
    <t>Skirt</t>
  </si>
  <si>
    <t>B-25655</t>
  </si>
  <si>
    <t>B-25802</t>
  </si>
  <si>
    <t>Shirt</t>
  </si>
  <si>
    <t>B-25790</t>
  </si>
  <si>
    <t>B-25681</t>
  </si>
  <si>
    <t>B-25698</t>
  </si>
  <si>
    <t>B-25758</t>
  </si>
  <si>
    <t>B-26062</t>
  </si>
  <si>
    <t>B-25801</t>
  </si>
  <si>
    <t>B-25677</t>
  </si>
  <si>
    <t>Leggings</t>
  </si>
  <si>
    <t>B-26093</t>
  </si>
  <si>
    <t>B-25868</t>
  </si>
  <si>
    <t>B-25673</t>
  </si>
  <si>
    <t>B-26008</t>
  </si>
  <si>
    <t>B-25651</t>
  </si>
  <si>
    <t>B-25821</t>
  </si>
  <si>
    <t>B-25789</t>
  </si>
  <si>
    <t>B-26028</t>
  </si>
  <si>
    <t>B-25858</t>
  </si>
  <si>
    <t>B-26095</t>
  </si>
  <si>
    <t>B-25873</t>
  </si>
  <si>
    <t>B-26052</t>
  </si>
  <si>
    <t>B-25977</t>
  </si>
  <si>
    <t>B-25820</t>
  </si>
  <si>
    <t>B-26053</t>
  </si>
  <si>
    <t>B-25670</t>
  </si>
  <si>
    <t>B-25828</t>
  </si>
  <si>
    <t>B-25900</t>
  </si>
  <si>
    <t>B-25957</t>
  </si>
  <si>
    <t>B-25656</t>
  </si>
  <si>
    <t>B-26099</t>
  </si>
  <si>
    <t>B-25788</t>
  </si>
  <si>
    <t>B-25982</t>
  </si>
  <si>
    <t>B-25915</t>
  </si>
  <si>
    <t>B-25870</t>
  </si>
  <si>
    <t>B-25950</t>
  </si>
  <si>
    <t>B-25784</t>
  </si>
  <si>
    <t>B-26089</t>
  </si>
  <si>
    <t>B-25919</t>
  </si>
  <si>
    <t>B-25996</t>
  </si>
  <si>
    <t>B-25989</t>
  </si>
  <si>
    <t>B-26030</t>
  </si>
  <si>
    <t>B-25757</t>
  </si>
  <si>
    <t>B-26097</t>
  </si>
  <si>
    <t>B-25834</t>
  </si>
  <si>
    <t>B-25864</t>
  </si>
  <si>
    <t>B-26045</t>
  </si>
  <si>
    <t>B-25807</t>
  </si>
  <si>
    <t>B-25687</t>
  </si>
  <si>
    <t>B-26059</t>
  </si>
  <si>
    <t>B-26038</t>
  </si>
  <si>
    <t>B-25856</t>
  </si>
  <si>
    <t>B-25823</t>
  </si>
  <si>
    <t>B-26017</t>
  </si>
  <si>
    <t>B-25954</t>
  </si>
  <si>
    <t>B-26029</t>
  </si>
  <si>
    <t>B-25928</t>
  </si>
  <si>
    <t>B-25889</t>
  </si>
  <si>
    <t>B-26055</t>
  </si>
  <si>
    <t>B-25925</t>
  </si>
  <si>
    <t>B-26061</t>
  </si>
  <si>
    <t>B-25951</t>
  </si>
  <si>
    <t>B-25911</t>
  </si>
  <si>
    <t>B-25997</t>
  </si>
  <si>
    <t>B-25852</t>
  </si>
  <si>
    <t>EMI</t>
  </si>
  <si>
    <t>B-25899</t>
  </si>
  <si>
    <t>B-26083</t>
  </si>
  <si>
    <t>B-26021</t>
  </si>
  <si>
    <t>B-25953</t>
  </si>
  <si>
    <t>B-25809</t>
  </si>
  <si>
    <t>B-25653</t>
  </si>
  <si>
    <t>B-26070</t>
  </si>
  <si>
    <t>B-26033</t>
  </si>
  <si>
    <t>B-25770</t>
  </si>
  <si>
    <t>B-26087</t>
  </si>
  <si>
    <t>B-25620</t>
  </si>
  <si>
    <t>B-26015</t>
  </si>
  <si>
    <t>B-25962</t>
  </si>
  <si>
    <t>B-25855</t>
  </si>
  <si>
    <t>B-25993</t>
  </si>
  <si>
    <t>B-25803</t>
  </si>
  <si>
    <t>B-25718</t>
  </si>
  <si>
    <t>B-25618</t>
  </si>
  <si>
    <t>B-25728</t>
  </si>
  <si>
    <t>B-25898</t>
  </si>
  <si>
    <t>Tables</t>
  </si>
  <si>
    <t>B-25676</t>
  </si>
  <si>
    <t>B-26054</t>
  </si>
  <si>
    <t>B-25764</t>
  </si>
  <si>
    <t>B-25960</t>
  </si>
  <si>
    <t>B-25630</t>
  </si>
  <si>
    <t>B-25602</t>
  </si>
  <si>
    <t>B-26078</t>
  </si>
  <si>
    <t>B-25650</t>
  </si>
  <si>
    <t>B-25797</t>
  </si>
  <si>
    <t>B-25933</t>
  </si>
  <si>
    <t>B-25738</t>
  </si>
  <si>
    <t>B-25631</t>
  </si>
  <si>
    <t>B-25654</t>
  </si>
  <si>
    <t>B-25633</t>
  </si>
  <si>
    <t>B-25669</t>
  </si>
  <si>
    <t>B-25791</t>
  </si>
  <si>
    <t>B-25640</t>
  </si>
  <si>
    <t>B-25767</t>
  </si>
  <si>
    <t>B-25611</t>
  </si>
  <si>
    <t>B-25739</t>
  </si>
  <si>
    <t>B-25612</t>
  </si>
  <si>
    <t>B-25724</t>
  </si>
  <si>
    <t>B-25701</t>
  </si>
  <si>
    <t>B-25756</t>
  </si>
  <si>
    <t>B-25661</t>
  </si>
  <si>
    <t>B-25921</t>
  </si>
  <si>
    <t>B-25721</t>
  </si>
  <si>
    <t>B-26057</t>
  </si>
  <si>
    <t>B-25755</t>
  </si>
  <si>
    <t>B-25717</t>
  </si>
  <si>
    <t>B-25781</t>
  </si>
  <si>
    <t>B-25879</t>
  </si>
  <si>
    <t>B-25649</t>
  </si>
  <si>
    <t>B-25754</t>
  </si>
  <si>
    <t>B-25703</t>
  </si>
  <si>
    <t>B-25942</t>
  </si>
  <si>
    <t>B-25748</t>
  </si>
  <si>
    <t>B-25773</t>
  </si>
  <si>
    <t>B-25795</t>
  </si>
  <si>
    <t>B-25753</t>
  </si>
  <si>
    <t>B-25776</t>
  </si>
  <si>
    <t>B-25766</t>
  </si>
  <si>
    <t>B-25775</t>
  </si>
  <si>
    <t>B-25799</t>
  </si>
  <si>
    <t>B-25686</t>
  </si>
  <si>
    <t>B-25614</t>
  </si>
  <si>
    <t>B-25733</t>
  </si>
  <si>
    <t>B-25903</t>
  </si>
  <si>
    <t>B-25742</t>
  </si>
  <si>
    <t>B-25708</t>
  </si>
  <si>
    <t>B-25628</t>
  </si>
  <si>
    <t>B-25740</t>
  </si>
  <si>
    <t>B-25646</t>
  </si>
  <si>
    <t>B-25652</t>
  </si>
  <si>
    <t>B-25774</t>
  </si>
  <si>
    <t>B-25714</t>
  </si>
  <si>
    <t>B-25732</t>
  </si>
  <si>
    <t>B-25725</t>
  </si>
  <si>
    <t>B-25610</t>
  </si>
  <si>
    <t>B-25762</t>
  </si>
  <si>
    <t>B-25769</t>
  </si>
  <si>
    <t>B-25700</t>
  </si>
  <si>
    <t>B-25798</t>
  </si>
  <si>
    <t>B-25883</t>
  </si>
  <si>
    <t>B-25632</t>
  </si>
  <si>
    <t>B-25896</t>
  </si>
  <si>
    <t>B-25850</t>
  </si>
  <si>
    <t>B-26001</t>
  </si>
  <si>
    <t>B-25785</t>
  </si>
  <si>
    <t>B-25843</t>
  </si>
  <si>
    <t>B-25705</t>
  </si>
  <si>
    <t>B-26064</t>
  </si>
  <si>
    <t>B-25979</t>
  </si>
  <si>
    <t>B-26025</t>
  </si>
  <si>
    <t>B-25910</t>
  </si>
  <si>
    <t>B-25830</t>
  </si>
  <si>
    <t>B-25938</t>
  </si>
  <si>
    <t>B-25851</t>
  </si>
  <si>
    <t>B-25909</t>
  </si>
  <si>
    <t>B-26003</t>
  </si>
  <si>
    <t>B-25967</t>
  </si>
  <si>
    <t>B-25635</t>
  </si>
  <si>
    <t>B-26086</t>
  </si>
  <si>
    <t>B-25891</t>
  </si>
  <si>
    <t>B-25835</t>
  </si>
  <si>
    <t>B-25959</t>
  </si>
  <si>
    <t>B-25955</t>
  </si>
  <si>
    <t>B-25940</t>
  </si>
  <si>
    <t>B-26079</t>
  </si>
  <si>
    <t>B-26010</t>
  </si>
  <si>
    <t>B-25861</t>
  </si>
  <si>
    <t>B-25606</t>
  </si>
  <si>
    <t>B-26076</t>
  </si>
  <si>
    <t>B-26088</t>
  </si>
  <si>
    <t>B-25991</t>
  </si>
  <si>
    <t>B-26082</t>
  </si>
  <si>
    <t>B-26056</t>
  </si>
  <si>
    <t>B-25853</t>
  </si>
  <si>
    <t>B-25902</t>
  </si>
  <si>
    <t>B-25685</t>
  </si>
  <si>
    <t>B-25920</t>
  </si>
  <si>
    <t>B-25946</t>
  </si>
  <si>
    <t>B-25848</t>
  </si>
  <si>
    <t>B-25730</t>
  </si>
  <si>
    <t>B-25877</t>
  </si>
  <si>
    <t>B-25981</t>
  </si>
  <si>
    <t>B-25844</t>
  </si>
  <si>
    <t>B-26012</t>
  </si>
  <si>
    <t>B-25875</t>
  </si>
  <si>
    <t>B-25881</t>
  </si>
  <si>
    <t>B-25658</t>
  </si>
  <si>
    <t>B-26050</t>
  </si>
  <si>
    <t>B-26040</t>
  </si>
  <si>
    <t>B-25719</t>
  </si>
  <si>
    <t>B-26100</t>
  </si>
  <si>
    <t>B-25956</t>
  </si>
  <si>
    <t>B-25945</t>
  </si>
  <si>
    <t>B-25841</t>
  </si>
  <si>
    <t>B-25818</t>
  </si>
  <si>
    <t>B-26075</t>
  </si>
  <si>
    <t>B-25904</t>
  </si>
  <si>
    <t>B-25917</t>
  </si>
  <si>
    <t>B-25822</t>
  </si>
  <si>
    <t>B-25815</t>
  </si>
  <si>
    <t>B-25866</t>
  </si>
  <si>
    <t>B-26092</t>
  </si>
  <si>
    <t>B-26098</t>
  </si>
  <si>
    <t>B-25805</t>
  </si>
  <si>
    <t>B-25746</t>
  </si>
  <si>
    <t>B-26085</t>
  </si>
  <si>
    <t>B-25930</t>
  </si>
  <si>
    <t>B-25604</t>
  </si>
  <si>
    <t>B-25886</t>
  </si>
  <si>
    <t>B-25689</t>
  </si>
  <si>
    <t>B-25922</t>
  </si>
  <si>
    <t>B-26069</t>
  </si>
  <si>
    <t>B-25939</t>
  </si>
  <si>
    <t>B-25623</t>
  </si>
  <si>
    <t>B-26023</t>
  </si>
  <si>
    <t>B-25808</t>
  </si>
  <si>
    <t>B-26066</t>
  </si>
  <si>
    <t>B-25958</t>
  </si>
  <si>
    <t>B-25872</t>
  </si>
  <si>
    <t>B-25901</t>
  </si>
  <si>
    <t>B-25885</t>
  </si>
  <si>
    <t>B-26049</t>
  </si>
  <si>
    <t>B-26002</t>
  </si>
  <si>
    <t>B-25625</t>
  </si>
  <si>
    <t>B-25947</t>
  </si>
  <si>
    <t>B-25880</t>
  </si>
  <si>
    <t>B-25824</t>
  </si>
  <si>
    <t>B-25973</t>
  </si>
  <si>
    <t>B-25810</t>
  </si>
  <si>
    <t>B-25684</t>
  </si>
  <si>
    <t>B-25969</t>
  </si>
  <si>
    <t>B-26011</t>
  </si>
  <si>
    <t>B-26096</t>
  </si>
  <si>
    <t>B-25972</t>
  </si>
  <si>
    <t>B-25924</t>
  </si>
  <si>
    <t>B-25949</t>
  </si>
  <si>
    <t>B-25857</t>
  </si>
  <si>
    <t>B-25840</t>
  </si>
  <si>
    <t>B-26007</t>
  </si>
  <si>
    <t>B-26004</t>
  </si>
  <si>
    <t>B-26048</t>
  </si>
  <si>
    <t>B-25971</t>
  </si>
  <si>
    <t>B-25970</t>
  </si>
  <si>
    <t>B-26051</t>
  </si>
  <si>
    <t>B-25895</t>
  </si>
  <si>
    <t>B-26009</t>
  </si>
  <si>
    <t>B-25663</t>
  </si>
  <si>
    <t>B-25854</t>
  </si>
  <si>
    <t>B-25847</t>
  </si>
  <si>
    <t>B-25974</t>
  </si>
  <si>
    <t>B-25859</t>
  </si>
  <si>
    <t>B-25826</t>
  </si>
  <si>
    <t>B-25845</t>
  </si>
  <si>
    <t>B-25747</t>
  </si>
  <si>
    <t>B-25712</t>
  </si>
  <si>
    <t>B-25888</t>
  </si>
  <si>
    <t>B-25786</t>
  </si>
  <si>
    <t>B-25639</t>
  </si>
  <si>
    <t>B-25702</t>
  </si>
  <si>
    <t>B-25914</t>
  </si>
  <si>
    <t>B-25929</t>
  </si>
  <si>
    <t>B-25638</t>
  </si>
  <si>
    <t>B-26081</t>
  </si>
  <si>
    <t>B-25634</t>
  </si>
  <si>
    <t>B-25749</t>
  </si>
  <si>
    <t>B-25660</t>
  </si>
  <si>
    <t>B-25704</t>
  </si>
  <si>
    <t>B-25763</t>
  </si>
  <si>
    <t>B-25780</t>
  </si>
  <si>
    <t>B-25931</t>
  </si>
  <si>
    <t>B-25667</t>
  </si>
  <si>
    <t>B-25680</t>
  </si>
  <si>
    <t>B-25792</t>
  </si>
  <si>
    <t>B-25691</t>
  </si>
  <si>
    <t>B-25986</t>
  </si>
  <si>
    <t>B-25734</t>
  </si>
  <si>
    <t>B-25737</t>
  </si>
  <si>
    <t>B-25621</t>
  </si>
  <si>
    <t>B-26016</t>
  </si>
  <si>
    <t>B-25787</t>
  </si>
  <si>
    <t>B-26044</t>
  </si>
  <si>
    <t>B-26013</t>
  </si>
  <si>
    <t>B-25690</t>
  </si>
  <si>
    <t>B-25961</t>
  </si>
  <si>
    <t>B-25745</t>
  </si>
  <si>
    <t>B-25800</t>
  </si>
  <si>
    <t>B-25601</t>
  </si>
  <si>
    <t>B-25616</t>
  </si>
  <si>
    <t>B-25865</t>
  </si>
  <si>
    <t>B-25608</t>
  </si>
  <si>
    <t>B-25622</t>
  </si>
  <si>
    <t>B-25671</t>
  </si>
  <si>
    <t>B-25793</t>
  </si>
  <si>
    <t>B-26026</t>
  </si>
  <si>
    <t>B-25975</t>
  </si>
  <si>
    <t>B-25862</t>
  </si>
  <si>
    <t>B-26071</t>
  </si>
  <si>
    <t>B-25897</t>
  </si>
  <si>
    <t>B-25965</t>
  </si>
  <si>
    <t>B-25963</t>
  </si>
  <si>
    <t>B-26073</t>
  </si>
  <si>
    <t>B-25869</t>
  </si>
  <si>
    <t>B-26005</t>
  </si>
  <si>
    <t>B-25980</t>
  </si>
  <si>
    <t>B-25893</t>
  </si>
  <si>
    <t>B-25624</t>
  </si>
  <si>
    <t>B-26043</t>
  </si>
  <si>
    <t>B-25867</t>
  </si>
  <si>
    <t>B-25952</t>
  </si>
  <si>
    <t>B-25637</t>
  </si>
  <si>
    <t>B-25765</t>
  </si>
  <si>
    <t>B-26042</t>
  </si>
  <si>
    <t>B-25943</t>
  </si>
  <si>
    <t>B-26035</t>
  </si>
  <si>
    <t>B-25833</t>
  </si>
  <si>
    <t>B-25668</t>
  </si>
  <si>
    <t>B-25935</t>
  </si>
  <si>
    <t>B-25827</t>
  </si>
  <si>
    <t>B-26090</t>
  </si>
  <si>
    <t>B-25948</t>
  </si>
  <si>
    <t>B-25860</t>
  </si>
  <si>
    <t>B-25804</t>
  </si>
  <si>
    <t>B-25683</t>
  </si>
  <si>
    <t>B-25906</t>
  </si>
  <si>
    <t>B-25892</t>
  </si>
  <si>
    <t>B-25990</t>
  </si>
  <si>
    <t>B-25944</t>
  </si>
  <si>
    <t>B-25838</t>
  </si>
  <si>
    <t>B-25878</t>
  </si>
  <si>
    <t>B-25992</t>
  </si>
  <si>
    <t>B-26072</t>
  </si>
  <si>
    <t>B-25819</t>
  </si>
  <si>
    <t>B-25771</t>
  </si>
  <si>
    <t>B-25894</t>
  </si>
  <si>
    <t>B-26060</t>
  </si>
  <si>
    <t>B-26091</t>
  </si>
  <si>
    <t>B-26018</t>
  </si>
  <si>
    <t>B-25964</t>
  </si>
  <si>
    <t>B-25832</t>
  </si>
  <si>
    <t>B-25849</t>
  </si>
  <si>
    <t>B-25715</t>
  </si>
  <si>
    <t>B-26000</t>
  </si>
  <si>
    <t>B-25995</t>
  </si>
  <si>
    <t>B-25937</t>
  </si>
  <si>
    <t>B-25629</t>
  </si>
  <si>
    <t>B-25779</t>
  </si>
  <si>
    <t>B-25778</t>
  </si>
  <si>
    <t>B-25729</t>
  </si>
  <si>
    <t>B-25657</t>
  </si>
  <si>
    <t>B-25978</t>
  </si>
  <si>
    <t>B-25806</t>
  </si>
  <si>
    <t>B-25665</t>
  </si>
  <si>
    <t>B-26063</t>
  </si>
  <si>
    <t>B-25777</t>
  </si>
  <si>
    <t>B-25713</t>
  </si>
  <si>
    <t>B-26084</t>
  </si>
  <si>
    <t>B-25711</t>
  </si>
  <si>
    <t>B-25627</t>
  </si>
  <si>
    <t>B-25607</t>
  </si>
  <si>
    <t>B-25932</t>
  </si>
  <si>
    <t>B-25706</t>
  </si>
  <si>
    <t>B-25647</t>
  </si>
  <si>
    <t>B-25609</t>
  </si>
  <si>
    <t>B-25716</t>
  </si>
  <si>
    <t>B-25884</t>
  </si>
  <si>
    <t>B-26067</t>
  </si>
  <si>
    <t>B-25927</t>
  </si>
  <si>
    <t>B-26027</t>
  </si>
  <si>
    <t>B-25976</t>
  </si>
  <si>
    <t>B-26031</t>
  </si>
  <si>
    <t>B-25985</t>
  </si>
  <si>
    <t>B-25876</t>
  </si>
  <si>
    <t>B-25882</t>
  </si>
  <si>
    <t>B-26074</t>
  </si>
  <si>
    <t>B-25936</t>
  </si>
  <si>
    <t>B-25871</t>
  </si>
  <si>
    <t>B-25941</t>
  </si>
  <si>
    <t>B-25811</t>
  </si>
  <si>
    <t>B-25772</t>
  </si>
  <si>
    <t>B-25727</t>
  </si>
  <si>
    <t>B-25814</t>
  </si>
  <si>
    <t>B-25688</t>
  </si>
  <si>
    <t>B-25617</t>
  </si>
  <si>
    <t>B-25760</t>
  </si>
  <si>
    <t>B-25918</t>
  </si>
  <si>
    <t>B-25998</t>
  </si>
  <si>
    <t>B-26041</t>
  </si>
  <si>
    <t>B-25908</t>
  </si>
  <si>
    <t>B-25674</t>
  </si>
  <si>
    <t>B-25736</t>
  </si>
  <si>
    <t>B-25994</t>
  </si>
  <si>
    <t>B-25926</t>
  </si>
  <si>
    <t>B-25825</t>
  </si>
  <si>
    <t>B-25907</t>
  </si>
  <si>
    <t>B-26047</t>
  </si>
  <si>
    <t>B-26032</t>
  </si>
  <si>
    <t>B-26065</t>
  </si>
  <si>
    <t>B-25615</t>
  </si>
  <si>
    <t>B-26068</t>
  </si>
  <si>
    <t>B-26039</t>
  </si>
  <si>
    <t>B-26014</t>
  </si>
  <si>
    <t>B-25812</t>
  </si>
  <si>
    <t>B-25837</t>
  </si>
  <si>
    <t>B-25874</t>
  </si>
  <si>
    <t>B-25817</t>
  </si>
  <si>
    <t>B-25636</t>
  </si>
  <si>
    <t>B-26034</t>
  </si>
  <si>
    <t>B-26006</t>
  </si>
  <si>
    <t>B-25768</t>
  </si>
  <si>
    <t>B-25887</t>
  </si>
  <si>
    <t>B-25759</t>
  </si>
  <si>
    <t>B-25987</t>
  </si>
  <si>
    <t>B-25912</t>
  </si>
  <si>
    <t>B-26024</t>
  </si>
  <si>
    <t>B-25934</t>
  </si>
  <si>
    <t>B-26080</t>
  </si>
  <si>
    <t>B-25794</t>
  </si>
  <si>
    <t>B-25905</t>
  </si>
  <si>
    <t>B-26094</t>
  </si>
  <si>
    <t>B-25984</t>
  </si>
  <si>
    <t>B-26020</t>
  </si>
  <si>
    <t>B-25966</t>
  </si>
  <si>
    <t>B-25744</t>
  </si>
  <si>
    <t>B-25831</t>
  </si>
  <si>
    <t>B-25666</t>
  </si>
  <si>
    <t>B-25782</t>
  </si>
  <si>
    <t>B-25741</t>
  </si>
  <si>
    <t>B-25605</t>
  </si>
  <si>
    <t>B-25846</t>
  </si>
  <si>
    <t>B-26077</t>
  </si>
  <si>
    <t>B-25913</t>
  </si>
  <si>
    <t>B-25692</t>
  </si>
  <si>
    <t>B-25829</t>
  </si>
  <si>
    <t>B-25694</t>
  </si>
  <si>
    <t>B-26036</t>
  </si>
  <si>
    <t>B-26037</t>
  </si>
  <si>
    <t>B-25659</t>
  </si>
  <si>
    <t>B-25863</t>
  </si>
  <si>
    <t>B-26058</t>
  </si>
  <si>
    <t>B-25968</t>
  </si>
  <si>
    <t>B-25813</t>
  </si>
  <si>
    <t>B-25839</t>
  </si>
  <si>
    <t>B-25731</t>
  </si>
  <si>
    <t>B-25726</t>
  </si>
  <si>
    <t>B-25644</t>
  </si>
  <si>
    <t>B-25722</t>
  </si>
  <si>
    <t>B-26046</t>
  </si>
  <si>
    <t>B-25619</t>
  </si>
  <si>
    <t>B-25816</t>
  </si>
  <si>
    <t>B-25842</t>
  </si>
  <si>
    <t>B-26022</t>
  </si>
  <si>
    <t>B-25988</t>
  </si>
  <si>
    <t>B-25675</t>
  </si>
  <si>
    <t>B-25916</t>
  </si>
  <si>
    <t>B-25613</t>
  </si>
  <si>
    <t>B-25695</t>
  </si>
  <si>
    <t>B-25836</t>
  </si>
  <si>
    <t>B-25890</t>
  </si>
  <si>
    <t>B-25682</t>
  </si>
  <si>
    <t>B-25642</t>
  </si>
  <si>
    <t>B-26019</t>
  </si>
  <si>
    <t>Order Date</t>
  </si>
  <si>
    <t>CustomerName</t>
  </si>
  <si>
    <t>State</t>
  </si>
  <si>
    <t>City</t>
  </si>
  <si>
    <t>Year</t>
  </si>
  <si>
    <t>Month Name</t>
  </si>
  <si>
    <t>Harivansh</t>
  </si>
  <si>
    <t>Uttar Pradesh</t>
  </si>
  <si>
    <t>Mathura</t>
  </si>
  <si>
    <t>March</t>
  </si>
  <si>
    <t>Madhav</t>
  </si>
  <si>
    <t>Delhi</t>
  </si>
  <si>
    <t>February</t>
  </si>
  <si>
    <t>Madan Mohan</t>
  </si>
  <si>
    <t>January</t>
  </si>
  <si>
    <t>Gopal</t>
  </si>
  <si>
    <t>Maharashtra</t>
  </si>
  <si>
    <t>Mumbai</t>
  </si>
  <si>
    <t>December</t>
  </si>
  <si>
    <t>Vishakha</t>
  </si>
  <si>
    <t>Madhya Pradesh</t>
  </si>
  <si>
    <t>Indore</t>
  </si>
  <si>
    <t>August</t>
  </si>
  <si>
    <t>Sudevi</t>
  </si>
  <si>
    <t>Prayagraj</t>
  </si>
  <si>
    <t>Shiva</t>
  </si>
  <si>
    <t>Pune</t>
  </si>
  <si>
    <t>Sarita</t>
  </si>
  <si>
    <t>Shishu</t>
  </si>
  <si>
    <t>Andhra Pradesh</t>
  </si>
  <si>
    <t>Hyderabad</t>
  </si>
  <si>
    <t>October</t>
  </si>
  <si>
    <t>Vrinda</t>
  </si>
  <si>
    <t>April</t>
  </si>
  <si>
    <t>Uudhav</t>
  </si>
  <si>
    <t>November</t>
  </si>
  <si>
    <t>Shreyshi</t>
  </si>
  <si>
    <t>Gujarat</t>
  </si>
  <si>
    <t>Surat</t>
  </si>
  <si>
    <t>Bhishm</t>
  </si>
  <si>
    <t>Yogesh</t>
  </si>
  <si>
    <t>Lalita</t>
  </si>
  <si>
    <t>Rohan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</si>
  <si>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</si>
  <si>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</si>
  <si>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</si>
  <si>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</si>
  <si>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</si>
  <si>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</si>
  <si>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</si>
  <si>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</si>
  <si>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September</t>
  </si>
  <si>
    <t>Pooja</t>
  </si>
  <si>
    <t>June</t>
  </si>
  <si>
    <t>Shrichand</t>
  </si>
  <si>
    <t>Punjab</t>
  </si>
  <si>
    <t>Chandigarh</t>
  </si>
  <si>
    <t>Hitesh</t>
  </si>
  <si>
    <t>Bhopal</t>
  </si>
  <si>
    <t>Shourya</t>
  </si>
  <si>
    <t xml:space="preserve">Kerala </t>
  </si>
  <si>
    <t>Thiruvananthapuram</t>
  </si>
  <si>
    <t>Ishpreet</t>
  </si>
  <si>
    <t>Sudhir</t>
  </si>
  <si>
    <t>Nagaland</t>
  </si>
  <si>
    <t>Kohima</t>
  </si>
  <si>
    <t>Sauptik</t>
  </si>
  <si>
    <t>Lisha</t>
  </si>
  <si>
    <t>Bhawna</t>
  </si>
  <si>
    <t>Sujay</t>
  </si>
  <si>
    <t>Jay</t>
  </si>
  <si>
    <t>Shruti</t>
  </si>
  <si>
    <t>Mohan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</si>
  <si>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</si>
  <si>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</si>
  <si>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</si>
  <si>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</si>
  <si>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</si>
  <si>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</si>
  <si>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</si>
  <si>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</si>
  <si>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Madhulika</t>
  </si>
  <si>
    <t>July</t>
  </si>
  <si>
    <t>Shardul</t>
  </si>
  <si>
    <t>Sheetal</t>
  </si>
  <si>
    <t>Pournamasi</t>
  </si>
  <si>
    <t>Surabhi</t>
  </si>
  <si>
    <t>Manshul</t>
  </si>
  <si>
    <t>Lucknow</t>
  </si>
  <si>
    <t>Parth</t>
  </si>
  <si>
    <t>Siddharth</t>
  </si>
  <si>
    <t>Priyanka</t>
  </si>
  <si>
    <t>May</t>
  </si>
  <si>
    <t>Aarushi</t>
  </si>
  <si>
    <t>Tamil Nadu</t>
  </si>
  <si>
    <t>Chennai</t>
  </si>
  <si>
    <t>Vaibhav</t>
  </si>
  <si>
    <t>Savi</t>
  </si>
  <si>
    <t>Jahan</t>
  </si>
  <si>
    <t>Parishi</t>
  </si>
  <si>
    <t>West Bengal</t>
  </si>
  <si>
    <t>Kolkata</t>
  </si>
  <si>
    <t>Farah</t>
  </si>
  <si>
    <t>Abhijeet</t>
  </si>
  <si>
    <t>Anudeep</t>
  </si>
  <si>
    <t>Yohann</t>
  </si>
  <si>
    <t>Girase</t>
  </si>
  <si>
    <t>Arpita</t>
  </si>
  <si>
    <t>Vijay</t>
  </si>
  <si>
    <t>Jammu and Kashmir</t>
  </si>
  <si>
    <t>Kashmir</t>
  </si>
  <si>
    <t>Arti</t>
  </si>
  <si>
    <t>Bharat</t>
  </si>
  <si>
    <t>Divyeta</t>
  </si>
  <si>
    <t>Manju</t>
  </si>
  <si>
    <t>Oshin</t>
  </si>
  <si>
    <t>Chandni</t>
  </si>
  <si>
    <t>Jaipur</t>
  </si>
  <si>
    <t>Pranjali</t>
  </si>
  <si>
    <t>Monu</t>
  </si>
  <si>
    <t>Amritsar</t>
  </si>
  <si>
    <t>Krutika</t>
  </si>
  <si>
    <t>Sanjana</t>
  </si>
  <si>
    <t>Mahima</t>
  </si>
  <si>
    <t>Rishabh</t>
  </si>
  <si>
    <t>Dashyam</t>
  </si>
  <si>
    <t>Tulika</t>
  </si>
  <si>
    <t>Nripraj</t>
  </si>
  <si>
    <t>Vikash</t>
  </si>
  <si>
    <t>Goa</t>
  </si>
  <si>
    <t>Mukesh</t>
  </si>
  <si>
    <t>Ankit</t>
  </si>
  <si>
    <t>Aditi</t>
  </si>
  <si>
    <t>Ayush</t>
  </si>
  <si>
    <t>Parin</t>
  </si>
  <si>
    <t>Kirti</t>
  </si>
  <si>
    <t>Ameesha</t>
  </si>
  <si>
    <t>Anjali</t>
  </si>
  <si>
    <t>Shivam</t>
  </si>
  <si>
    <t>Anurag</t>
  </si>
  <si>
    <t>Shaily</t>
  </si>
  <si>
    <t>Tanvi</t>
  </si>
  <si>
    <t>Shreya</t>
  </si>
  <si>
    <t>Chirag</t>
  </si>
  <si>
    <t>Shweta</t>
  </si>
  <si>
    <t>Abhishek</t>
  </si>
  <si>
    <t>Hrisheekesh</t>
  </si>
  <si>
    <t>Kartik</t>
  </si>
  <si>
    <t>Trupti</t>
  </si>
  <si>
    <t>Noopur</t>
  </si>
  <si>
    <t>Harsh</t>
  </si>
  <si>
    <t>Swapnil</t>
  </si>
  <si>
    <t>Soumyabrata</t>
  </si>
  <si>
    <t>Amruta</t>
  </si>
  <si>
    <t>Aishwarya</t>
  </si>
  <si>
    <t>Pranav</t>
  </si>
  <si>
    <t>Sahil</t>
  </si>
  <si>
    <t>Mitali</t>
  </si>
  <si>
    <t>Hitika</t>
  </si>
  <si>
    <t>Paromita</t>
  </si>
  <si>
    <t>Jitesh</t>
  </si>
  <si>
    <t>Pratyusmita</t>
  </si>
  <si>
    <t>Atharv</t>
  </si>
  <si>
    <t>Ajay</t>
  </si>
  <si>
    <t>Diwakar</t>
  </si>
  <si>
    <t>Rutuja</t>
  </si>
  <si>
    <t>Sanjova</t>
  </si>
  <si>
    <t>Shivanshu</t>
  </si>
  <si>
    <t>Mhatre</t>
  </si>
  <si>
    <t>Snel</t>
  </si>
  <si>
    <t>Praneet</t>
  </si>
  <si>
    <t>Jesal</t>
  </si>
  <si>
    <t>Rhea</t>
  </si>
  <si>
    <t>Mrinal</t>
  </si>
  <si>
    <t>Sharda</t>
  </si>
  <si>
    <t>Shatayu</t>
  </si>
  <si>
    <t>Chikku</t>
  </si>
  <si>
    <t>Akancha</t>
  </si>
  <si>
    <t>Amit</t>
  </si>
  <si>
    <t>Sikkim</t>
  </si>
  <si>
    <t>Gangtok</t>
  </si>
  <si>
    <t>Kishwar</t>
  </si>
  <si>
    <t>Muskan</t>
  </si>
  <si>
    <t>Shubham</t>
  </si>
  <si>
    <t>Vini</t>
  </si>
  <si>
    <t>Manisha</t>
  </si>
  <si>
    <t>Charika</t>
  </si>
  <si>
    <t>Ankur</t>
  </si>
  <si>
    <t>Aniket</t>
  </si>
  <si>
    <t>Nishi</t>
  </si>
  <si>
    <t>Tanushree</t>
  </si>
  <si>
    <t>Pinky</t>
  </si>
  <si>
    <t>Yash</t>
  </si>
  <si>
    <t>Parna</t>
  </si>
  <si>
    <t>Sukrith</t>
  </si>
  <si>
    <t>Dhanraj</t>
  </si>
  <si>
    <t>Megha</t>
  </si>
  <si>
    <t>Piyali</t>
  </si>
  <si>
    <t>Anand</t>
  </si>
  <si>
    <t>Monica</t>
  </si>
  <si>
    <t>Avish</t>
  </si>
  <si>
    <t>Atul</t>
  </si>
  <si>
    <t>Shivangi</t>
  </si>
  <si>
    <t>Mayank</t>
  </si>
  <si>
    <t>Kasheen</t>
  </si>
  <si>
    <t>Asish</t>
  </si>
  <si>
    <t>Tejeswini</t>
  </si>
  <si>
    <t>Priyanshu</t>
  </si>
  <si>
    <t>Nikita</t>
  </si>
  <si>
    <t>Monisha</t>
  </si>
  <si>
    <t>Nishant</t>
  </si>
  <si>
    <t>Kartikay</t>
  </si>
  <si>
    <t>Amisha</t>
  </si>
  <si>
    <t>Soumya</t>
  </si>
  <si>
    <t>Harshita</t>
  </si>
  <si>
    <t>Aman</t>
  </si>
  <si>
    <t>Brijesh</t>
  </si>
  <si>
    <t>Vandana</t>
  </si>
  <si>
    <t>Kiran</t>
  </si>
  <si>
    <t>Paridhi</t>
  </si>
  <si>
    <t>Navdeep</t>
  </si>
  <si>
    <t>Bhaggyasree</t>
  </si>
  <si>
    <t>Vineet</t>
  </si>
  <si>
    <t>Divyansha</t>
  </si>
  <si>
    <t>Kajal</t>
  </si>
  <si>
    <t>Amlan</t>
  </si>
  <si>
    <t>Sabah</t>
  </si>
  <si>
    <t>Surbhi</t>
  </si>
  <si>
    <t>Hazel</t>
  </si>
  <si>
    <t>Sonal</t>
  </si>
  <si>
    <t>Srishti</t>
  </si>
  <si>
    <t>Shikhar</t>
  </si>
  <si>
    <t>Divsha</t>
  </si>
  <si>
    <t>Nida</t>
  </si>
  <si>
    <t>Mane</t>
  </si>
  <si>
    <t>Sanjay</t>
  </si>
  <si>
    <t>Sathya</t>
  </si>
  <si>
    <t>Sanjna</t>
  </si>
  <si>
    <t>Sweta</t>
  </si>
  <si>
    <t>Nidhi</t>
  </si>
  <si>
    <t>Sakshi</t>
  </si>
  <si>
    <t>Devendra</t>
  </si>
  <si>
    <t>Aparajita</t>
  </si>
  <si>
    <t>Ramesh</t>
  </si>
  <si>
    <t>Swetha</t>
  </si>
  <si>
    <t>Apoorva</t>
  </si>
  <si>
    <t>Stuti</t>
  </si>
  <si>
    <t>K</t>
  </si>
  <si>
    <t>Kushal</t>
  </si>
  <si>
    <t>Aayushi</t>
  </si>
  <si>
    <t>Deepak</t>
  </si>
  <si>
    <t>Prashant</t>
  </si>
  <si>
    <t>Bathina</t>
  </si>
  <si>
    <t>Turumella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</si>
  <si>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</si>
  <si>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</si>
  <si>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</si>
  <si>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</si>
  <si>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</si>
  <si>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</si>
  <si>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</si>
  <si>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</si>
  <si>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</si>
  <si>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</si>
  <si>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</si>
  <si>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Yaanvi</t>
  </si>
  <si>
    <t>Palak</t>
  </si>
  <si>
    <t>Kshitij</t>
  </si>
  <si>
    <t>Mrunal</t>
  </si>
  <si>
    <t>Kanak</t>
  </si>
  <si>
    <t>Divyeshkumar</t>
  </si>
  <si>
    <t>Karandeep</t>
  </si>
  <si>
    <t>Ekta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</si>
  <si>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</si>
  <si>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</si>
  <si>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</si>
  <si>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</si>
  <si>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</si>
  <si>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</si>
  <si>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</si>
  <si>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</si>
  <si>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</si>
  <si>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Ginny</t>
  </si>
  <si>
    <t>Omkar</t>
  </si>
  <si>
    <t>Adhvaita</t>
  </si>
  <si>
    <t>Piyam</t>
  </si>
  <si>
    <t>Shefali</t>
  </si>
  <si>
    <t>Anchal</t>
  </si>
  <si>
    <t>Manibalan</t>
  </si>
  <si>
    <t>Mansi</t>
  </si>
  <si>
    <t>Pradeep</t>
  </si>
  <si>
    <t>Jaideep</t>
  </si>
  <si>
    <t>Ritu</t>
  </si>
  <si>
    <t>Suhani</t>
  </si>
  <si>
    <t>Sandra</t>
  </si>
  <si>
    <t>Syed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</si>
  <si>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</si>
  <si>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</si>
  <si>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</si>
  <si>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</si>
  <si>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</si>
  <si>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</si>
  <si>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</si>
  <si>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</si>
  <si>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</si>
  <si>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Mukund</t>
  </si>
  <si>
    <t>Shantanu</t>
  </si>
  <si>
    <t>Patil</t>
  </si>
  <si>
    <t>Vaibhavi</t>
  </si>
  <si>
    <t>Sanskriti</t>
  </si>
  <si>
    <t>Prajakta</t>
  </si>
  <si>
    <t>Saptadeep</t>
  </si>
  <si>
    <t>Saurabh</t>
  </si>
  <si>
    <t>Anisha</t>
  </si>
  <si>
    <t>Arsheen</t>
  </si>
  <si>
    <t>Rashmi</t>
  </si>
  <si>
    <t>Meghana</t>
  </si>
  <si>
    <t>Teena</t>
  </si>
  <si>
    <t>Samiksha</t>
  </si>
  <si>
    <t>Daksh</t>
  </si>
  <si>
    <t>Akash</t>
  </si>
  <si>
    <t>Shubhi</t>
  </si>
  <si>
    <t>Riya</t>
  </si>
  <si>
    <t>Utsav</t>
  </si>
  <si>
    <t>Ishit</t>
  </si>
  <si>
    <t>Smriti</t>
  </si>
  <si>
    <t>Ankita</t>
  </si>
  <si>
    <t>Masurkar</t>
  </si>
  <si>
    <t>Shivani</t>
  </si>
  <si>
    <t>Dheeraj</t>
  </si>
  <si>
    <t>Gunjal</t>
  </si>
  <si>
    <t>Ashmi</t>
  </si>
  <si>
    <t>Jesslyn</t>
  </si>
  <si>
    <t>Sonakshi</t>
  </si>
  <si>
    <t>Vipul</t>
  </si>
  <si>
    <t>Apoorv</t>
  </si>
  <si>
    <t>Rahul</t>
  </si>
  <si>
    <t>Geetanjali</t>
  </si>
  <si>
    <t>Preksha</t>
  </si>
  <si>
    <t>Shyam</t>
  </si>
  <si>
    <t>Aromal</t>
  </si>
  <si>
    <t>Jayanti</t>
  </si>
  <si>
    <t>Kritika</t>
  </si>
  <si>
    <t>Arindam</t>
  </si>
  <si>
    <t>Maithilee</t>
  </si>
  <si>
    <t>Sandeep</t>
  </si>
  <si>
    <t>Soodesh</t>
  </si>
  <si>
    <t>Parnavi</t>
  </si>
  <si>
    <t>Swati</t>
  </si>
  <si>
    <t>Parakh</t>
  </si>
  <si>
    <t>Arun</t>
  </si>
  <si>
    <t>Utkarsh</t>
  </si>
  <si>
    <t>Nirja</t>
  </si>
  <si>
    <t>Abhijit</t>
  </si>
  <si>
    <t>Avni</t>
  </si>
  <si>
    <t>Wale</t>
  </si>
  <si>
    <t>Sidharth</t>
  </si>
  <si>
    <t>Bhutekar</t>
  </si>
  <si>
    <t>Mugdha</t>
  </si>
  <si>
    <t>Aryan</t>
  </si>
  <si>
    <t>Krishna</t>
  </si>
  <si>
    <t>Nikhil</t>
  </si>
  <si>
    <t>Rane</t>
  </si>
  <si>
    <t>Noshiba</t>
  </si>
  <si>
    <t>Dipali</t>
  </si>
  <si>
    <t>Vivek</t>
  </si>
  <si>
    <t>Pratiksha</t>
  </si>
  <si>
    <t>Akshata</t>
  </si>
  <si>
    <t>Duhita</t>
  </si>
  <si>
    <t>Anmol</t>
  </si>
  <si>
    <t>Inderpreet</t>
  </si>
  <si>
    <t>Mousam</t>
  </si>
  <si>
    <t>Dhirajendu</t>
  </si>
  <si>
    <t>Sajal</t>
  </si>
  <si>
    <t>Aakanksha</t>
  </si>
  <si>
    <t>Phalguni</t>
  </si>
  <si>
    <t>Snehal</t>
  </si>
  <si>
    <t>Manish</t>
  </si>
  <si>
    <t>Tejas</t>
  </si>
  <si>
    <t>Pearl</t>
  </si>
  <si>
    <t>Gunjan</t>
  </si>
  <si>
    <t>Swetlana</t>
  </si>
  <si>
    <t>Akshat</t>
  </si>
  <si>
    <t>Namrata</t>
  </si>
  <si>
    <t>Jaydeep</t>
  </si>
  <si>
    <t>Rachna</t>
  </si>
  <si>
    <t>Akanksha</t>
  </si>
  <si>
    <t>Sumeet</t>
  </si>
  <si>
    <t>Ashvini</t>
  </si>
  <si>
    <t>Saloni</t>
  </si>
  <si>
    <t>Anubhaw</t>
  </si>
  <si>
    <t>Ananya</t>
  </si>
  <si>
    <t>Rohit</t>
  </si>
  <si>
    <t>Hemangi</t>
  </si>
  <si>
    <t>Dinesh</t>
  </si>
  <si>
    <t>Ashwin</t>
  </si>
  <si>
    <t>Actual_Cost</t>
  </si>
  <si>
    <t>Selling_Cost</t>
  </si>
  <si>
    <t>Orders.State</t>
  </si>
  <si>
    <t>Orders.Month Name</t>
  </si>
  <si>
    <t>Total Sales</t>
  </si>
  <si>
    <t>Sale</t>
  </si>
  <si>
    <t>Total Profit</t>
  </si>
  <si>
    <t>Total Quantity</t>
  </si>
  <si>
    <t xml:space="preserve">Total Sales </t>
  </si>
  <si>
    <t>Quantity Sold</t>
  </si>
  <si>
    <t xml:space="preserve">Profit Margin </t>
  </si>
  <si>
    <t>Average Order Value</t>
  </si>
  <si>
    <t>Total Orders</t>
  </si>
  <si>
    <t>Profitable Orders</t>
  </si>
  <si>
    <t>Loss Orders</t>
  </si>
  <si>
    <t>Profit Margin</t>
  </si>
  <si>
    <t>A.O.V</t>
  </si>
  <si>
    <t>Sales &amp; Profit</t>
  </si>
  <si>
    <t>Dashboard</t>
  </si>
  <si>
    <t>Column1</t>
  </si>
  <si>
    <t>Column2</t>
  </si>
  <si>
    <t>S.No.</t>
  </si>
  <si>
    <t>Month</t>
  </si>
  <si>
    <t>Growth Rate</t>
  </si>
  <si>
    <t>Sales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</si>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</sst>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0" fontId="0" fillId="0" borderId="0" xfId="0" applyNumberFormat="1"/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9"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Table" Target="pivotTables/pivotTabl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rPr>
              <a:t>Month Wise Sales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Details!$W$2:$W$13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Details!$Y$2:$Y$13</c:f>
              <c:numCache>
                <c:formatCode>General</c:formatCode>
                <c:ptCount val="12"/>
                <c:pt idx="1">
                  <c:v>-0.56611484908303089</c:v>
                </c:pt>
                <c:pt idx="2">
                  <c:v>1.2595471882880906</c:v>
                </c:pt>
                <c:pt idx="3">
                  <c:v>-0.55188958341640681</c:v>
                </c:pt>
                <c:pt idx="4">
                  <c:v>-0.25030313435076218</c:v>
                </c:pt>
                <c:pt idx="5">
                  <c:v>-0.22598702746771854</c:v>
                </c:pt>
                <c:pt idx="6">
                  <c:v>-0.6146928115914192</c:v>
                </c:pt>
                <c:pt idx="7">
                  <c:v>2.709118099916783</c:v>
                </c:pt>
                <c:pt idx="8">
                  <c:v>-0.1445180743785171</c:v>
                </c:pt>
                <c:pt idx="9">
                  <c:v>0.67345162455102336</c:v>
                </c:pt>
                <c:pt idx="10">
                  <c:v>0.11121121522780458</c:v>
                </c:pt>
                <c:pt idx="11">
                  <c:v>-0.42187853434532002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A-42FB-9665-6B3C786CE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19359"/>
        <c:axId val="146318879"/>
      </c:lineChart>
      <c:catAx>
        <c:axId val="14631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18879"/>
        <c:crosses val="autoZero"/>
        <c:auto val="1"/>
        <c:lblAlgn val="ctr"/>
        <c:lblOffset val="100"/>
        <c:noMultiLvlLbl val="0"/>
      </c:catAx>
      <c:valAx>
        <c:axId val="14631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1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Wise Profit</a:t>
            </a:r>
          </a:p>
        </c:rich>
      </c:tx>
      <c:layout>
        <c:manualLayout>
          <c:xMode val="edge"/>
          <c:yMode val="edge"/>
          <c:x val="0.15274284086413645"/>
          <c:y val="1.278003496899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Details!$S$2:$S$4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Details!$T$2:$T$4</c:f>
              <c:numCache>
                <c:formatCode>General</c:formatCode>
                <c:ptCount val="3"/>
                <c:pt idx="0">
                  <c:v>13325</c:v>
                </c:pt>
                <c:pt idx="1">
                  <c:v>13162</c:v>
                </c:pt>
                <c:pt idx="2">
                  <c:v>10476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8-4049-9FFA-2D34F432E7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3948560"/>
        <c:axId val="1763946640"/>
      </c:barChart>
      <c:catAx>
        <c:axId val="176394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946640"/>
        <c:crosses val="autoZero"/>
        <c:auto val="1"/>
        <c:lblAlgn val="ctr"/>
        <c:lblOffset val="100"/>
        <c:noMultiLvlLbl val="0"/>
      </c:catAx>
      <c:valAx>
        <c:axId val="17639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94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C4-4E56-8DE0-FAA25EFE739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C4-4E56-8DE0-FAA25EFE73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Details!$P$8:$P$9</c:f>
              <c:strCache>
                <c:ptCount val="2"/>
                <c:pt idx="0">
                  <c:v>Profitable Orders</c:v>
                </c:pt>
                <c:pt idx="1">
                  <c:v>Loss Orders</c:v>
                </c:pt>
              </c:strCache>
            </c:strRef>
          </c:cat>
          <c:val>
            <c:numRef>
              <c:f>Details!$Q$8:$Q$9</c:f>
              <c:numCache>
                <c:formatCode>General</c:formatCode>
                <c:ptCount val="2"/>
                <c:pt idx="0">
                  <c:v>924</c:v>
                </c:pt>
                <c:pt idx="1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C4-4E56-8DE0-FAA25EFE739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Rajasthan</c:v>
          </c:tx>
          <c:spPr>
            <a:gradFill rotWithShape="1">
              <a:gsLst>
                <a:gs pos="0">
                  <a:schemeClr val="accent1">
                    <a:shade val="3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3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3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-323</c:v>
              </c:pt>
            </c:numLit>
          </c:val>
          <c:extLst>
            <c:ext xmlns:c16="http://schemas.microsoft.com/office/drawing/2014/chart" uri="{C3380CC4-5D6E-409C-BE32-E72D297353CC}">
              <c16:uniqueId val="{00000000-ADEB-46CC-ABE8-57375E8B4261}"/>
            </c:ext>
          </c:extLst>
        </c:ser>
        <c:ser>
          <c:idx val="1"/>
          <c:order val="1"/>
          <c:tx>
            <c:v>Andhra Pradesh</c:v>
          </c:tx>
          <c:spPr>
            <a:gradFill rotWithShape="1">
              <a:gsLst>
                <a:gs pos="0">
                  <a:schemeClr val="accent1">
                    <a:shade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-280</c:v>
              </c:pt>
            </c:numLit>
          </c:val>
          <c:extLst>
            <c:ext xmlns:c16="http://schemas.microsoft.com/office/drawing/2014/chart" uri="{C3380CC4-5D6E-409C-BE32-E72D297353CC}">
              <c16:uniqueId val="{00000001-ADEB-46CC-ABE8-57375E8B4261}"/>
            </c:ext>
          </c:extLst>
        </c:ser>
        <c:ser>
          <c:idx val="2"/>
          <c:order val="2"/>
          <c:tx>
            <c:v>Nagaland</c:v>
          </c:tx>
          <c:spPr>
            <a:gradFill rotWithShape="1">
              <a:gsLst>
                <a:gs pos="0">
                  <a:schemeClr val="accent1">
                    <a:shade val="5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2-ADEB-46CC-ABE8-57375E8B4261}"/>
            </c:ext>
          </c:extLst>
        </c:ser>
        <c:ser>
          <c:idx val="3"/>
          <c:order val="3"/>
          <c:tx>
            <c:v>Jammu and Kashmir</c:v>
          </c:tx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208</c:v>
              </c:pt>
            </c:numLit>
          </c:val>
          <c:extLst>
            <c:ext xmlns:c16="http://schemas.microsoft.com/office/drawing/2014/chart" uri="{C3380CC4-5D6E-409C-BE32-E72D297353CC}">
              <c16:uniqueId val="{00000003-ADEB-46CC-ABE8-57375E8B4261}"/>
            </c:ext>
          </c:extLst>
        </c:ser>
        <c:ser>
          <c:idx val="4"/>
          <c:order val="4"/>
          <c:tx>
            <c:v>Goa</c:v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350</c:v>
              </c:pt>
            </c:numLit>
          </c:val>
          <c:extLst>
            <c:ext xmlns:c16="http://schemas.microsoft.com/office/drawing/2014/chart" uri="{C3380CC4-5D6E-409C-BE32-E72D297353CC}">
              <c16:uniqueId val="{00000004-ADEB-46CC-ABE8-57375E8B4261}"/>
            </c:ext>
          </c:extLst>
        </c:ser>
        <c:ser>
          <c:idx val="5"/>
          <c:order val="5"/>
          <c:tx>
            <c:v>Sikkim</c:v>
          </c:tx>
          <c:spPr>
            <a:gradFill rotWithShape="1">
              <a:gsLst>
                <a:gs pos="0">
                  <a:schemeClr val="accent1">
                    <a:shade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401</c:v>
              </c:pt>
            </c:numLit>
          </c:val>
          <c:extLst>
            <c:ext xmlns:c16="http://schemas.microsoft.com/office/drawing/2014/chart" uri="{C3380CC4-5D6E-409C-BE32-E72D297353CC}">
              <c16:uniqueId val="{00000005-ADEB-46CC-ABE8-57375E8B4261}"/>
            </c:ext>
          </c:extLst>
        </c:ser>
        <c:ser>
          <c:idx val="6"/>
          <c:order val="6"/>
          <c:tx>
            <c:v>Karnataka</c:v>
          </c:tx>
          <c:spPr>
            <a:gradFill rotWithShape="1">
              <a:gsLst>
                <a:gs pos="0">
                  <a:schemeClr val="accent1">
                    <a:shade val="7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449</c:v>
              </c:pt>
            </c:numLit>
          </c:val>
          <c:extLst>
            <c:ext xmlns:c16="http://schemas.microsoft.com/office/drawing/2014/chart" uri="{C3380CC4-5D6E-409C-BE32-E72D297353CC}">
              <c16:uniqueId val="{00000006-ADEB-46CC-ABE8-57375E8B4261}"/>
            </c:ext>
          </c:extLst>
        </c:ser>
        <c:ser>
          <c:idx val="7"/>
          <c:order val="7"/>
          <c:tx>
            <c:v>Haryana</c:v>
          </c:tx>
          <c:spPr>
            <a:gradFill rotWithShape="1">
              <a:gsLst>
                <a:gs pos="0">
                  <a:schemeClr val="accent1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1325</c:v>
              </c:pt>
            </c:numLit>
          </c:val>
          <c:extLst>
            <c:ext xmlns:c16="http://schemas.microsoft.com/office/drawing/2014/chart" uri="{C3380CC4-5D6E-409C-BE32-E72D297353CC}">
              <c16:uniqueId val="{00000007-ADEB-46CC-ABE8-57375E8B4261}"/>
            </c:ext>
          </c:extLst>
        </c:ser>
        <c:ser>
          <c:idx val="8"/>
          <c:order val="8"/>
          <c:tx>
            <c:v>Punjab</c:v>
          </c:tx>
          <c:spPr>
            <a:gradFill rotWithShape="1">
              <a:gsLst>
                <a:gs pos="0">
                  <a:schemeClr val="accent1">
                    <a:shade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1571</c:v>
              </c:pt>
            </c:numLit>
          </c:val>
          <c:extLst>
            <c:ext xmlns:c16="http://schemas.microsoft.com/office/drawing/2014/chart" uri="{C3380CC4-5D6E-409C-BE32-E72D297353CC}">
              <c16:uniqueId val="{00000008-ADEB-46CC-ABE8-57375E8B4261}"/>
            </c:ext>
          </c:extLst>
        </c:ser>
        <c:ser>
          <c:idx val="9"/>
          <c:order val="9"/>
          <c:tx>
            <c:v>Himachal Pradesh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1662</c:v>
              </c:pt>
            </c:numLit>
          </c:val>
          <c:extLst>
            <c:ext xmlns:c16="http://schemas.microsoft.com/office/drawing/2014/chart" uri="{C3380CC4-5D6E-409C-BE32-E72D297353CC}">
              <c16:uniqueId val="{00000009-ADEB-46CC-ABE8-57375E8B4261}"/>
            </c:ext>
          </c:extLst>
        </c:ser>
        <c:ser>
          <c:idx val="10"/>
          <c:order val="10"/>
          <c:tx>
            <c:v>Bihar</c:v>
          </c:tx>
          <c:spPr>
            <a:gradFill rotWithShape="1">
              <a:gsLst>
                <a:gs pos="0">
                  <a:schemeClr val="accent1">
                    <a:tint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1787</c:v>
              </c:pt>
            </c:numLit>
          </c:val>
          <c:extLst>
            <c:ext xmlns:c16="http://schemas.microsoft.com/office/drawing/2014/chart" uri="{C3380CC4-5D6E-409C-BE32-E72D297353CC}">
              <c16:uniqueId val="{0000000A-ADEB-46CC-ABE8-57375E8B4261}"/>
            </c:ext>
          </c:extLst>
        </c:ser>
        <c:ser>
          <c:idx val="11"/>
          <c:order val="11"/>
          <c:tx>
            <c:v>Delhi</c:v>
          </c:tx>
          <c:spPr>
            <a:gradFill rotWithShape="1">
              <a:gsLst>
                <a:gs pos="0">
                  <a:schemeClr val="accent1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1958</c:v>
              </c:pt>
            </c:numLit>
          </c:val>
          <c:extLst>
            <c:ext xmlns:c16="http://schemas.microsoft.com/office/drawing/2014/chart" uri="{C3380CC4-5D6E-409C-BE32-E72D297353CC}">
              <c16:uniqueId val="{0000000B-ADEB-46CC-ABE8-57375E8B4261}"/>
            </c:ext>
          </c:extLst>
        </c:ser>
        <c:ser>
          <c:idx val="12"/>
          <c:order val="12"/>
          <c:tx>
            <c:v>West Bengal</c:v>
          </c:tx>
          <c:spPr>
            <a:gradFill rotWithShape="1">
              <a:gsLst>
                <a:gs pos="0">
                  <a:schemeClr val="accent1">
                    <a:tint val="7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2074</c:v>
              </c:pt>
            </c:numLit>
          </c:val>
          <c:extLst>
            <c:ext xmlns:c16="http://schemas.microsoft.com/office/drawing/2014/chart" uri="{C3380CC4-5D6E-409C-BE32-E72D297353CC}">
              <c16:uniqueId val="{0000000C-ADEB-46CC-ABE8-57375E8B4261}"/>
            </c:ext>
          </c:extLst>
        </c:ser>
        <c:ser>
          <c:idx val="13"/>
          <c:order val="13"/>
          <c:tx>
            <c:v>Kerala</c:v>
          </c:tx>
          <c:spPr>
            <a:gradFill rotWithShape="1">
              <a:gsLst>
                <a:gs pos="0">
                  <a:schemeClr val="accent1">
                    <a:tint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2435</c:v>
              </c:pt>
            </c:numLit>
          </c:val>
          <c:extLst>
            <c:ext xmlns:c16="http://schemas.microsoft.com/office/drawing/2014/chart" uri="{C3380CC4-5D6E-409C-BE32-E72D297353CC}">
              <c16:uniqueId val="{0000000D-ADEB-46CC-ABE8-57375E8B4261}"/>
            </c:ext>
          </c:extLst>
        </c:ser>
        <c:ser>
          <c:idx val="14"/>
          <c:order val="14"/>
          <c:tx>
            <c:v>Tamil Nadu</c:v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2602</c:v>
              </c:pt>
            </c:numLit>
          </c:val>
          <c:extLst>
            <c:ext xmlns:c16="http://schemas.microsoft.com/office/drawing/2014/chart" uri="{C3380CC4-5D6E-409C-BE32-E72D297353CC}">
              <c16:uniqueId val="{0000000E-ADEB-46CC-ABE8-57375E8B4261}"/>
            </c:ext>
          </c:extLst>
        </c:ser>
        <c:ser>
          <c:idx val="15"/>
          <c:order val="15"/>
          <c:tx>
            <c:v>Gujarat</c:v>
          </c:tx>
          <c:spPr>
            <a:gradFill rotWithShape="1">
              <a:gsLst>
                <a:gs pos="0">
                  <a:schemeClr val="accent1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3001</c:v>
              </c:pt>
            </c:numLit>
          </c:val>
          <c:extLst>
            <c:ext xmlns:c16="http://schemas.microsoft.com/office/drawing/2014/chart" uri="{C3380CC4-5D6E-409C-BE32-E72D297353CC}">
              <c16:uniqueId val="{0000000F-ADEB-46CC-ABE8-57375E8B4261}"/>
            </c:ext>
          </c:extLst>
        </c:ser>
        <c:ser>
          <c:idx val="16"/>
          <c:order val="16"/>
          <c:tx>
            <c:v>Uttar Pradesh</c:v>
          </c:tx>
          <c:spPr>
            <a:gradFill rotWithShape="1">
              <a:gsLst>
                <a:gs pos="0">
                  <a:schemeClr val="accent1">
                    <a:tint val="5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3358</c:v>
              </c:pt>
            </c:numLit>
          </c:val>
          <c:extLst>
            <c:ext xmlns:c16="http://schemas.microsoft.com/office/drawing/2014/chart" uri="{C3380CC4-5D6E-409C-BE32-E72D297353CC}">
              <c16:uniqueId val="{00000010-ADEB-46CC-ABE8-57375E8B4261}"/>
            </c:ext>
          </c:extLst>
        </c:ser>
        <c:ser>
          <c:idx val="17"/>
          <c:order val="17"/>
          <c:tx>
            <c:v>Maharashtra</c:v>
          </c:tx>
          <c:spPr>
            <a:gradFill rotWithShape="1">
              <a:gsLst>
                <a:gs pos="0">
                  <a:schemeClr val="accent1">
                    <a:tint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6963</c:v>
              </c:pt>
            </c:numLit>
          </c:val>
          <c:extLst>
            <c:ext xmlns:c16="http://schemas.microsoft.com/office/drawing/2014/chart" uri="{C3380CC4-5D6E-409C-BE32-E72D297353CC}">
              <c16:uniqueId val="{00000011-ADEB-46CC-ABE8-57375E8B4261}"/>
            </c:ext>
          </c:extLst>
        </c:ser>
        <c:ser>
          <c:idx val="18"/>
          <c:order val="18"/>
          <c:tx>
            <c:v>Madhya Pradesh</c:v>
          </c:tx>
          <c:spPr>
            <a:gradFill rotWithShape="1">
              <a:gsLst>
                <a:gs pos="0">
                  <a:schemeClr val="accent1">
                    <a:tint val="3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3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3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7382</c:v>
              </c:pt>
            </c:numLit>
          </c:val>
          <c:extLst>
            <c:ext xmlns:c16="http://schemas.microsoft.com/office/drawing/2014/chart" uri="{C3380CC4-5D6E-409C-BE32-E72D297353CC}">
              <c16:uniqueId val="{00000012-ADEB-46CC-ABE8-57375E8B4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72385759"/>
        <c:axId val="1418910879"/>
      </c:barChart>
      <c:catAx>
        <c:axId val="17723857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1087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41891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8575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[Sales_Dashboard.xlsx]PivotChartTable1</c15:name>
        <c15:fmtId val="11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Details!$AE$1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Details!$AD$2:$AD$6</c:f>
              <c:strCache>
                <c:ptCount val="5"/>
                <c:pt idx="0">
                  <c:v>COD</c:v>
                </c:pt>
                <c:pt idx="1">
                  <c:v>UPI</c:v>
                </c:pt>
                <c:pt idx="2">
                  <c:v>Debit Card</c:v>
                </c:pt>
                <c:pt idx="3">
                  <c:v>Credit Card</c:v>
                </c:pt>
                <c:pt idx="4">
                  <c:v>EMI</c:v>
                </c:pt>
              </c:strCache>
            </c:strRef>
          </c:cat>
          <c:val>
            <c:numRef>
              <c:f>Details!$AE$2:$AE$6</c:f>
              <c:numCache>
                <c:formatCode>0</c:formatCode>
                <c:ptCount val="5"/>
                <c:pt idx="0">
                  <c:v>3286</c:v>
                </c:pt>
                <c:pt idx="1">
                  <c:v>3694</c:v>
                </c:pt>
                <c:pt idx="2">
                  <c:v>4824</c:v>
                </c:pt>
                <c:pt idx="3">
                  <c:v>12547</c:v>
                </c:pt>
                <c:pt idx="4">
                  <c:v>12612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C-48B5-8EAA-79F091118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6313119"/>
        <c:axId val="146310239"/>
      </c:barChart>
      <c:catAx>
        <c:axId val="14631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10239"/>
        <c:crosses val="autoZero"/>
        <c:auto val="1"/>
        <c:lblAlgn val="ctr"/>
        <c:lblOffset val="100"/>
        <c:noMultiLvlLbl val="0"/>
      </c:catAx>
      <c:valAx>
        <c:axId val="14631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1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5140</xdr:colOff>
      <xdr:row>6</xdr:row>
      <xdr:rowOff>8416</xdr:rowOff>
    </xdr:from>
    <xdr:to>
      <xdr:col>9</xdr:col>
      <xdr:colOff>4379</xdr:colOff>
      <xdr:row>16</xdr:row>
      <xdr:rowOff>108554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C8ECE-051E-41CC-B2F3-AFB49F9FA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1255</xdr:colOff>
      <xdr:row>6</xdr:row>
      <xdr:rowOff>8368</xdr:rowOff>
    </xdr:from>
    <xdr:to>
      <xdr:col>12</xdr:col>
      <xdr:colOff>4822</xdr:colOff>
      <xdr:row>16</xdr:row>
      <xdr:rowOff>108611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E1C510-39A2-4862-B8B7-A7A2E1FF4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6636</xdr:colOff>
      <xdr:row>16</xdr:row>
      <xdr:rowOff>111876</xdr:rowOff>
    </xdr:from>
    <xdr:to>
      <xdr:col>4</xdr:col>
      <xdr:colOff>2479</xdr:colOff>
      <xdr:row>27</xdr:row>
      <xdr:rowOff>94126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E0B57E-EC98-4709-8CAE-82A9498B8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5642</xdr:colOff>
      <xdr:row>16</xdr:row>
      <xdr:rowOff>111967</xdr:rowOff>
    </xdr:from>
    <xdr:to>
      <xdr:col>12</xdr:col>
      <xdr:colOff>8464</xdr:colOff>
      <xdr:row>31</xdr:row>
      <xdr:rowOff>114792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72EC2C-2D13-408E-B40D-9D39A4417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522</xdr:colOff>
      <xdr:row>27</xdr:row>
      <xdr:rowOff>103504</xdr:rowOff>
    </xdr:from>
    <xdr:to>
      <xdr:col>3</xdr:col>
      <xdr:colOff>1056967</xdr:colOff>
      <xdr:row>42</xdr:row>
      <xdr:rowOff>111359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F2DA7E-973C-4F9C-9F7D-CA32DE6F1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4</xdr:col>
      <xdr:colOff>10438</xdr:colOff>
      <xdr:row>32</xdr:row>
      <xdr:rowOff>118298</xdr:rowOff>
    </xdr:from>
    <xdr:ext cx="6137245" cy="10559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FCF50B-D95A-4DAE-B53B-4F9FFB906529}"/>
            </a:ext>
          </a:extLst>
        </xdr:cNvPr>
        <xdr:cNvSpPr txBox="1"/>
      </xdr:nvSpPr>
      <xdr:spPr>
        <a:xfrm>
          <a:off x="3982831" y="6326724"/>
          <a:ext cx="6137245" cy="105593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 i="1"/>
            <a:t>Despite ₹1.43 Cr in sales, the business operates at a razor-thin 0.26% margin, with a high number of loss-making orders and profitability concentrated in specific categories, states, and payment methods</a:t>
          </a:r>
        </a:p>
      </xdr:txBody>
    </xdr:sp>
    <xdr:clientData/>
  </xdr:oneCellAnchor>
  <xdr:oneCellAnchor>
    <xdr:from>
      <xdr:col>4</xdr:col>
      <xdr:colOff>10437</xdr:colOff>
      <xdr:row>37</xdr:row>
      <xdr:rowOff>115056</xdr:rowOff>
    </xdr:from>
    <xdr:ext cx="6137277" cy="102169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9A41E56-186F-417F-A1E4-9A331B41A12E}"/>
            </a:ext>
          </a:extLst>
        </xdr:cNvPr>
        <xdr:cNvSpPr txBox="1"/>
      </xdr:nvSpPr>
      <xdr:spPr>
        <a:xfrm>
          <a:off x="3982830" y="7260367"/>
          <a:ext cx="6137277" cy="102169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 b="1" i="1"/>
            <a:t>Profit is driven more by how customers pay than by how much they buy, with card and EMI orders outperforming COD and UPI in margin contribution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638682407407" backgroundQuery="1" createdVersion="8" refreshedVersion="8" minRefreshableVersion="3" recordCount="0" supportSubquery="1" supportAdvancedDrill="1" xr:uid="{8A1DA14E-BCE7-4E5A-8E12-052594DA0A1B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Profit]" caption="Sum of Profit" numFmtId="0" hierarchy="21" level="32767"/>
    <cacheField name="[Details].[Orders.State].[Orders.State]" caption="Orders.State" numFmtId="0" hierarchy="9" level="1">
      <sharedItems count="19">
        <s v="Andhra Pradesh"/>
        <s v="Bihar"/>
        <s v="Delhi"/>
        <s v="Goa"/>
        <s v="Gujarat"/>
        <s v="Haryana"/>
        <s v="Himachal Pradesh"/>
        <s v="Jammu and Kashmir"/>
        <s v="Karnataka"/>
        <s v="Kerala"/>
        <s v="Madhya Pradesh"/>
        <s v="Maharashtra"/>
        <s v="Nagaland"/>
        <s v="Punjab"/>
        <s v="Rajasthan"/>
        <s v="Sikkim"/>
        <s v="Tamil Nadu"/>
        <s v="Uttar Pradesh"/>
        <s v="West Bengal"/>
      </sharedItems>
    </cacheField>
  </cacheFields>
  <cacheHierarchies count="23">
    <cacheHierarchy uniqueName="[Details].[Order ID]" caption="Order ID" attribute="1" defaultMemberUniqueName="[Details].[Order ID].[All]" allUniqueName="[Details].[Order ID].[All]" dimensionUniqueName="[Details]" displayFolder="" count="0" memberValueDatatype="130" unbalanced="0"/>
    <cacheHierarchy uniqueName="[Details].[Amount]" caption="Amount" attribute="1" defaultMemberUniqueName="[Details].[Amount].[All]" allUniqueName="[Details].[Amount].[All]" dimensionUniqueName="[Details]" displayFolder="" count="0" memberValueDatatype="20" unbalanced="0"/>
    <cacheHierarchy uniqueName="[Details].[Profit]" caption="Profit" attribute="1" defaultMemberUniqueName="[Details].[Profit].[All]" allUniqueName="[Details].[Profit].[All]" dimensionUniqueName="[Details]" displayFolder="" count="0" memberValueDatatype="20" unbalanced="0"/>
    <cacheHierarchy uniqueName="[Details].[Actual_Cost]" caption="Actual_Cost" attribute="1" defaultMemberUniqueName="[Details].[Actual_Cost].[All]" allUniqueName="[Details].[Actual_Cost].[All]" dimensionUniqueName="[Details]" displayFolder="" count="0" memberValueDatatype="20" unbalanced="0"/>
    <cacheHierarchy uniqueName="[Details].[Selling_Cost]" caption="Selling_Cost" attribute="1" defaultMemberUniqueName="[Details].[Selling_Cost].[All]" allUniqueName="[Details].[Selling_Cost].[All]" dimensionUniqueName="[Details]" displayFolder="" count="0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0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2" memberValueDatatype="130" unbalanced="0"/>
    <cacheHierarchy uniqueName="[Details].[Sub-Category]" caption="Sub-Category" attribute="1" defaultMemberUniqueName="[Details].[Sub-Category].[All]" allUniqueName="[Details].[Sub-Category].[All]" dimensionUniqueName="[Details]" displayFolder="" count="0" memberValueDatatype="130" unbalanced="0"/>
    <cacheHierarchy uniqueName="[Details].[PaymentMode]" caption="PaymentMode" attribute="1" defaultMemberUniqueName="[Details].[PaymentMode].[All]" allUniqueName="[Details].[PaymentMode].[All]" dimensionUniqueName="[Details]" displayFolder="" count="0" memberValueDatatype="130" unbalanced="0"/>
    <cacheHierarchy uniqueName="[Details].[Orders.State]" caption="Orders.State" attribute="1" defaultMemberUniqueName="[Details].[Orders.State].[All]" allUniqueName="[Details].[Orders.State].[All]" dimensionUniqueName="[Details]" displayFolder="" count="2" memberValueDatatype="130" unbalanced="0">
      <fieldsUsage count="2">
        <fieldUsage x="-1"/>
        <fieldUsage x="1"/>
      </fieldsUsage>
    </cacheHierarchy>
    <cacheHierarchy uniqueName="[Details].[Orders.Month Name]" caption="Orders.Month Name" attribute="1" defaultMemberUniqueName="[Details].[Orders.Month Name].[All]" allUniqueName="[Details].[Orders.Month Name].[All]" dimensionUniqueName="[Detail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Measures].[__XL_Count Details]" caption="__XL_Count Details" measure="1" displayFolder="" measureGroup="Detail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aymentMode]" caption="Sum of PaymentMode" measure="1" displayFolder="" measureGroup="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pivotCacheId="94487454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A315B-7CE9-4FFE-B61D-0741243FDE02}" name="PivotChar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A1:U3" firstHeaderRow="1" firstDataRow="2" firstDataCol="1"/>
  <pivotFields count="2">
    <pivotField dataField="1" subtotalTop="0" showAll="0" defaultSubtotal="0"/>
    <pivotField axis="axisCol" allDrilled="1" subtotalTop="0" showAll="0" sortType="a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Items count="1">
    <i/>
  </rowItems>
  <colFields count="1">
    <field x="1"/>
  </colFields>
  <colItems count="20">
    <i>
      <x v="14"/>
    </i>
    <i>
      <x/>
    </i>
    <i>
      <x v="12"/>
    </i>
    <i>
      <x v="7"/>
    </i>
    <i>
      <x v="3"/>
    </i>
    <i>
      <x v="15"/>
    </i>
    <i>
      <x v="8"/>
    </i>
    <i>
      <x v="5"/>
    </i>
    <i>
      <x v="13"/>
    </i>
    <i>
      <x v="6"/>
    </i>
    <i>
      <x v="1"/>
    </i>
    <i>
      <x v="2"/>
    </i>
    <i>
      <x v="18"/>
    </i>
    <i>
      <x v="9"/>
    </i>
    <i>
      <x v="16"/>
    </i>
    <i>
      <x v="4"/>
    </i>
    <i>
      <x v="17"/>
    </i>
    <i>
      <x v="11"/>
    </i>
    <i>
      <x v="10"/>
    </i>
    <i t="grand">
      <x/>
    </i>
  </colItems>
  <dataFields count="1">
    <dataField name="Sum of Profit" fld="0" baseField="0" baseItem="0"/>
  </dataFields>
  <chartFormats count="5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1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1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1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1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1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1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1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1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1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1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1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" columnCount="20" cacheId="944874548">
        <x15:pivotRow count="20">
          <x15:c>
            <x15:v>-323</x15:v>
          </x15:c>
          <x15:c>
            <x15:v>-280</x15:v>
          </x15:c>
          <x15:c>
            <x15:v>40</x15:v>
          </x15:c>
          <x15:c>
            <x15:v>208</x15:v>
          </x15:c>
          <x15:c>
            <x15:v>350</x15:v>
          </x15:c>
          <x15:c>
            <x15:v>401</x15:v>
          </x15:c>
          <x15:c>
            <x15:v>449</x15:v>
          </x15:c>
          <x15:c>
            <x15:v>1325</x15:v>
          </x15:c>
          <x15:c>
            <x15:v>1571</x15:v>
          </x15:c>
          <x15:c>
            <x15:v>1662</x15:v>
          </x15:c>
          <x15:c>
            <x15:v>1787</x15:v>
          </x15:c>
          <x15:c>
            <x15:v>1958</x15:v>
          </x15:c>
          <x15:c>
            <x15:v>2074</x15:v>
          </x15:c>
          <x15:c>
            <x15:v>2435</x15:v>
          </x15:c>
          <x15:c>
            <x15:v>2602</x15:v>
          </x15:c>
          <x15:c>
            <x15:v>3001</x15:v>
          </x15:c>
          <x15:c>
            <x15:v>3358</x15:v>
          </x15:c>
          <x15:c>
            <x15:v>6963</x15:v>
          </x15:c>
          <x15:c>
            <x15:v>7382</x15:v>
          </x15:c>
          <x15:c>
            <x15:v>36963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4CC8238-CDB9-48A6-82E9-9E75450D5363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Order Date" tableColumnId="2"/>
      <queryTableField id="3" name="CustomerName" tableColumnId="3"/>
      <queryTableField id="4" name="State" tableColumnId="4"/>
      <queryTableField id="5" name="City" tableColumnId="5"/>
      <queryTableField id="6" name="Year" tableColumnId="6"/>
      <queryTableField id="7" name="Month Nam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90A5C9-C7E5-4F6F-9173-BDCE22DCE995}" autoFormatId="16" applyNumberFormats="0" applyBorderFormats="0" applyFontFormats="0" applyPatternFormats="0" applyAlignmentFormats="0" applyWidthHeightFormats="0">
  <queryTableRefresh nextId="19">
    <queryTableFields count="12">
      <queryTableField id="1" name="Order ID" tableColumnId="1"/>
      <queryTableField id="2" name="Amount" tableColumnId="2"/>
      <queryTableField id="3" name="Profit" tableColumnId="3"/>
      <queryTableField id="9" dataBound="0" tableColumnId="8"/>
      <queryTableField id="10" dataBound="0" tableColumnId="9"/>
      <queryTableField id="4" name="Quantity" tableColumnId="4"/>
      <queryTableField id="18" dataBound="0" tableColumnId="14"/>
      <queryTableField id="5" name="Category" tableColumnId="5"/>
      <queryTableField id="6" name="Sub-Category" tableColumnId="6"/>
      <queryTableField id="7" name="PaymentMode" tableColumnId="7"/>
      <queryTableField id="12" name="Orders.State" tableColumnId="11"/>
      <queryTableField id="13" name="Orders.Month Na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0A6B60-9186-419E-AB00-0409BD340D25}" name="Orders" displayName="Orders" ref="A1:G501" tableType="queryTable" totalsRowShown="0">
  <autoFilter ref="A1:G501" xr:uid="{880A6B60-9186-419E-AB00-0409BD340D25}"/>
  <tableColumns count="7">
    <tableColumn id="1" xr3:uid="{0BF8A2A1-A1A4-4F6A-B66B-F487F096620A}" uniqueName="1" name="Order ID" queryTableFieldId="1" dataDxfId="18"/>
    <tableColumn id="2" xr3:uid="{AF143202-3311-4327-BFAF-2B95B7E0A0EE}" uniqueName="2" name="Order Date" queryTableFieldId="2" dataDxfId="17"/>
    <tableColumn id="3" xr3:uid="{D1B9A707-2B18-44FB-BBDD-484952C7D16B}" uniqueName="3" name="CustomerName" queryTableFieldId="3" dataDxfId="16"/>
    <tableColumn id="4" xr3:uid="{1A1E60DF-5DD3-49DF-A6BB-3A7EB3FF659A}" uniqueName="4" name="State" queryTableFieldId="4" dataDxfId="15"/>
    <tableColumn id="5" xr3:uid="{F3461FA9-E3B4-4055-B16E-2024CA6EDC46}" uniqueName="5" name="City" queryTableFieldId="5" dataDxfId="14"/>
    <tableColumn id="6" xr3:uid="{D23C05AD-2022-40A0-B7FD-A5F4B8C5DAF0}" uniqueName="6" name="Year" queryTableFieldId="6"/>
    <tableColumn id="7" xr3:uid="{89AD5598-FB62-4C19-8021-C0AD52EDF2E5}" uniqueName="7" name="Month Name" queryTableFieldId="7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7FBF3-B9D4-4442-B214-F142463C9A0A}" name="Details" displayName="Details" ref="A1:L1501" tableType="queryTable" totalsRowShown="0">
  <autoFilter ref="A1:L1501" xr:uid="{F797FBF3-B9D4-4442-B214-F142463C9A0A}"/>
  <tableColumns count="12">
    <tableColumn id="1" xr3:uid="{9F8B4C1A-0C59-453C-B69F-48DF5B05F47C}" uniqueName="1" name="Order ID" queryTableFieldId="1" dataDxfId="12"/>
    <tableColumn id="2" xr3:uid="{2C4AEC96-8A5E-4B35-8289-9BBC1F0A8E7D}" uniqueName="2" name="Amount" queryTableFieldId="2"/>
    <tableColumn id="3" xr3:uid="{9B841705-4869-49A2-89EF-6F6F532EF5BC}" uniqueName="3" name="Profit" queryTableFieldId="3" dataDxfId="11"/>
    <tableColumn id="8" xr3:uid="{D9B3D894-77EF-4A97-8E73-6068954E507A}" uniqueName="8" name="Actual_Cost" queryTableFieldId="9" dataDxfId="10"/>
    <tableColumn id="9" xr3:uid="{61A7546B-2E3D-47AF-8296-67AA01FE1E5B}" uniqueName="9" name="Selling_Cost" queryTableFieldId="10" dataDxfId="9">
      <calculatedColumnFormula>SUM(Details[[#This Row],[Actual_Cost]],Details[[#This Row],[Profit]])</calculatedColumnFormula>
    </tableColumn>
    <tableColumn id="4" xr3:uid="{0A9E65F6-40CA-4302-B8FA-AB420BBFDD9A}" uniqueName="4" name="Quantity" queryTableFieldId="4"/>
    <tableColumn id="14" xr3:uid="{56759ED0-19C0-4C85-B630-FE8C94051BE2}" uniqueName="14" name="Sale" queryTableFieldId="18" dataDxfId="8">
      <calculatedColumnFormula>PRODUCT(Details[[#This Row],[Selling_Cost]],Details[[#This Row],[Quantity]])</calculatedColumnFormula>
    </tableColumn>
    <tableColumn id="5" xr3:uid="{CD14D0EC-24A8-4188-B303-06E61085C8D5}" uniqueName="5" name="Category" queryTableFieldId="5" dataDxfId="7"/>
    <tableColumn id="6" xr3:uid="{58BF19FC-C4B9-4283-9B1C-1A6C6F3B41B8}" uniqueName="6" name="Sub-Category" queryTableFieldId="6" dataDxfId="6"/>
    <tableColumn id="7" xr3:uid="{9A5D3ED7-EFA7-43B6-B78A-58D2C515ADF9}" uniqueName="7" name="PaymentMode" queryTableFieldId="7" dataDxfId="5"/>
    <tableColumn id="11" xr3:uid="{A1DFB08F-62C0-43EB-8F2E-E2332525041C}" uniqueName="11" name="Orders.State" queryTableFieldId="12" dataDxfId="4"/>
    <tableColumn id="12" xr3:uid="{71473107-3662-4934-BBC0-E0CB529CD790}" uniqueName="12" name="Orders.Month Name" queryTableFieldId="1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49DB6F-2FA4-487E-8E83-EE747AE667B3}" name="Table3" displayName="Table3" ref="P1:Q9" totalsRowShown="0">
  <autoFilter ref="P1:Q9" xr:uid="{9B49DB6F-2FA4-487E-8E83-EE747AE667B3}"/>
  <tableColumns count="2">
    <tableColumn id="1" xr3:uid="{25F7BD13-B95C-4070-BF1E-AEC4CCD79E6A}" name="Column1"/>
    <tableColumn id="2" xr3:uid="{173D070A-29E5-47A7-8C76-C6E2ABDFD440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260908-E696-4807-9C69-E92A82B76A7D}" name="Table6" displayName="Table6" ref="S1:T4" totalsRowShown="0">
  <autoFilter ref="S1:T4" xr:uid="{CB260908-E696-4807-9C69-E92A82B76A7D}"/>
  <tableColumns count="2">
    <tableColumn id="1" xr3:uid="{54DE89DA-69B3-4267-AFC4-10F742439A00}" name="Category"/>
    <tableColumn id="2" xr3:uid="{DF894641-5624-48BE-88E1-09335FEAFE14}" name="Profit">
      <calculatedColumnFormula>SUMIFS(C2:C100000, H2:H100000, S2)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F6FBAA-F17C-4730-A46A-A4F9BF72FB0C}" name="Table7" displayName="Table7" ref="V1:Y13" totalsRowShown="0">
  <autoFilter ref="V1:Y13" xr:uid="{74F6FBAA-F17C-4730-A46A-A4F9BF72FB0C}"/>
  <tableColumns count="4">
    <tableColumn id="1" xr3:uid="{11A7C2FC-E8B3-4F8E-85E8-2E95F938EE6E}" name="S.No."/>
    <tableColumn id="2" xr3:uid="{E99B905B-1B10-4DA6-8A13-0ABC9973707A}" name="Month" dataDxfId="2"/>
    <tableColumn id="3" xr3:uid="{9D3A6F3F-ACD3-421E-AC87-F79706C2F007}" name="Sale">
      <calculatedColumnFormula>SUMIFS(G:G, L:L, W2)</calculatedColumnFormula>
    </tableColumn>
    <tableColumn id="4" xr3:uid="{6FF414D7-9BE3-499F-A3E5-706592CE80CA}" name="Growth Rate">
      <calculatedColumnFormula>(X3-X2)/X2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843D17-6E96-40BF-A42B-6CFE1EA42E55}" name="Table8" displayName="Table8" ref="AA1:AB6" totalsRowShown="0">
  <autoFilter ref="AA1:AB6" xr:uid="{D8843D17-6E96-40BF-A42B-6CFE1EA42E55}"/>
  <tableColumns count="2">
    <tableColumn id="1" xr3:uid="{DEFD260C-6766-428A-8101-F56F1DC0CF35}" name="Method"/>
    <tableColumn id="2" xr3:uid="{CF0C9A7F-44D4-4BA4-9ABB-DC9625EA68B2}" name="Sales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EEC599-6121-4D14-B1AE-FB16F9FA3B9D}" name="Table9" displayName="Table9" ref="AD1:AE6" totalsRowShown="0">
  <autoFilter ref="AD1:AE6" xr:uid="{7BEEC599-6121-4D14-B1AE-FB16F9FA3B9D}"/>
  <tableColumns count="2">
    <tableColumn id="1" xr3:uid="{088A9FF5-192E-44DC-916B-274B719B9627}" name="Method"/>
    <tableColumn id="2" xr3:uid="{B7978E89-6DE5-424B-A83F-F654D2AA91B3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0524-5C3A-4C52-8E7C-E51D1EB548B3}">
  <dimension ref="A1:G501"/>
  <sheetViews>
    <sheetView workbookViewId="0">
      <selection activeCell="I5" sqref="I5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6.44140625" bestFit="1" customWidth="1"/>
    <col min="4" max="4" width="17.33203125" bestFit="1" customWidth="1"/>
    <col min="5" max="5" width="18.109375" bestFit="1" customWidth="1"/>
    <col min="6" max="6" width="6.88671875" bestFit="1" customWidth="1"/>
    <col min="7" max="7" width="14.44140625" bestFit="1" customWidth="1"/>
  </cols>
  <sheetData>
    <row r="1" spans="1:7" x14ac:dyDescent="0.3">
      <c r="A1" t="s">
        <v>0</v>
      </c>
      <c r="B1" t="s">
        <v>532</v>
      </c>
      <c r="C1" t="s">
        <v>533</v>
      </c>
      <c r="D1" t="s">
        <v>534</v>
      </c>
      <c r="E1" t="s">
        <v>535</v>
      </c>
      <c r="F1" t="s">
        <v>536</v>
      </c>
      <c r="G1" t="s">
        <v>537</v>
      </c>
    </row>
    <row r="2" spans="1:7" x14ac:dyDescent="0.3">
      <c r="A2" t="s">
        <v>118</v>
      </c>
      <c r="B2" s="1">
        <v>43169</v>
      </c>
      <c r="C2" t="s">
        <v>538</v>
      </c>
      <c r="D2" t="s">
        <v>539</v>
      </c>
      <c r="E2" t="s">
        <v>540</v>
      </c>
      <c r="F2">
        <v>2018</v>
      </c>
      <c r="G2" t="s">
        <v>541</v>
      </c>
    </row>
    <row r="3" spans="1:7" x14ac:dyDescent="0.3">
      <c r="A3" t="s">
        <v>140</v>
      </c>
      <c r="B3" s="1">
        <v>43134</v>
      </c>
      <c r="C3" t="s">
        <v>542</v>
      </c>
      <c r="D3" t="s">
        <v>543</v>
      </c>
      <c r="E3" t="s">
        <v>543</v>
      </c>
      <c r="F3">
        <v>2018</v>
      </c>
      <c r="G3" t="s">
        <v>544</v>
      </c>
    </row>
    <row r="4" spans="1:7" x14ac:dyDescent="0.3">
      <c r="A4" t="s">
        <v>298</v>
      </c>
      <c r="B4" s="1">
        <v>43124</v>
      </c>
      <c r="C4" t="s">
        <v>545</v>
      </c>
      <c r="D4" t="s">
        <v>539</v>
      </c>
      <c r="E4" t="s">
        <v>540</v>
      </c>
      <c r="F4">
        <v>2018</v>
      </c>
      <c r="G4" t="s">
        <v>546</v>
      </c>
    </row>
    <row r="5" spans="1:7" x14ac:dyDescent="0.3">
      <c r="A5" t="s">
        <v>40</v>
      </c>
      <c r="B5" s="1">
        <v>43461</v>
      </c>
      <c r="C5" t="s">
        <v>547</v>
      </c>
      <c r="D5" t="s">
        <v>548</v>
      </c>
      <c r="E5" t="s">
        <v>549</v>
      </c>
      <c r="F5">
        <v>2018</v>
      </c>
      <c r="G5" t="s">
        <v>550</v>
      </c>
    </row>
    <row r="6" spans="1:7" x14ac:dyDescent="0.3">
      <c r="A6" t="s">
        <v>102</v>
      </c>
      <c r="B6" s="1">
        <v>43333</v>
      </c>
      <c r="C6" t="s">
        <v>551</v>
      </c>
      <c r="D6" t="s">
        <v>552</v>
      </c>
      <c r="E6" t="s">
        <v>553</v>
      </c>
      <c r="F6">
        <v>2018</v>
      </c>
      <c r="G6" t="s">
        <v>554</v>
      </c>
    </row>
    <row r="7" spans="1:7" x14ac:dyDescent="0.3">
      <c r="A7" t="s">
        <v>227</v>
      </c>
      <c r="B7" s="1">
        <v>43121</v>
      </c>
      <c r="C7" t="s">
        <v>555</v>
      </c>
      <c r="D7" t="s">
        <v>539</v>
      </c>
      <c r="E7" t="s">
        <v>556</v>
      </c>
      <c r="F7">
        <v>2018</v>
      </c>
      <c r="G7" t="s">
        <v>546</v>
      </c>
    </row>
    <row r="8" spans="1:7" x14ac:dyDescent="0.3">
      <c r="A8" t="s">
        <v>233</v>
      </c>
      <c r="B8" s="1">
        <v>43116</v>
      </c>
      <c r="C8" t="s">
        <v>557</v>
      </c>
      <c r="D8" t="s">
        <v>548</v>
      </c>
      <c r="E8" t="s">
        <v>558</v>
      </c>
      <c r="F8">
        <v>2018</v>
      </c>
      <c r="G8" t="s">
        <v>546</v>
      </c>
    </row>
    <row r="9" spans="1:7" x14ac:dyDescent="0.3">
      <c r="A9" t="s">
        <v>70</v>
      </c>
      <c r="B9" s="1">
        <v>43186</v>
      </c>
      <c r="C9" t="s">
        <v>559</v>
      </c>
      <c r="D9" t="s">
        <v>548</v>
      </c>
      <c r="E9" t="s">
        <v>558</v>
      </c>
      <c r="F9">
        <v>2018</v>
      </c>
      <c r="G9" t="s">
        <v>541</v>
      </c>
    </row>
    <row r="10" spans="1:7" x14ac:dyDescent="0.3">
      <c r="A10" t="s">
        <v>209</v>
      </c>
      <c r="B10" s="1">
        <v>43374</v>
      </c>
      <c r="C10" t="s">
        <v>560</v>
      </c>
      <c r="D10" t="s">
        <v>561</v>
      </c>
      <c r="E10" t="s">
        <v>562</v>
      </c>
      <c r="F10">
        <v>2018</v>
      </c>
      <c r="G10" t="s">
        <v>563</v>
      </c>
    </row>
    <row r="11" spans="1:7" x14ac:dyDescent="0.3">
      <c r="A11" t="s">
        <v>152</v>
      </c>
      <c r="B11" s="1">
        <v>43191</v>
      </c>
      <c r="C11" t="s">
        <v>564</v>
      </c>
      <c r="D11" t="s">
        <v>548</v>
      </c>
      <c r="E11" t="s">
        <v>558</v>
      </c>
      <c r="F11">
        <v>2018</v>
      </c>
      <c r="G11" t="s">
        <v>565</v>
      </c>
    </row>
    <row r="12" spans="1:7" x14ac:dyDescent="0.3">
      <c r="A12" t="s">
        <v>78</v>
      </c>
      <c r="B12" s="1">
        <v>43417</v>
      </c>
      <c r="C12" t="s">
        <v>566</v>
      </c>
      <c r="D12" t="s">
        <v>548</v>
      </c>
      <c r="E12" t="s">
        <v>549</v>
      </c>
      <c r="F12">
        <v>2018</v>
      </c>
      <c r="G12" t="s">
        <v>567</v>
      </c>
    </row>
    <row r="13" spans="1:7" x14ac:dyDescent="0.3">
      <c r="A13" t="s">
        <v>301</v>
      </c>
      <c r="B13" s="1">
        <v>43121</v>
      </c>
      <c r="C13" t="s">
        <v>568</v>
      </c>
      <c r="D13" t="s">
        <v>569</v>
      </c>
      <c r="E13" t="s">
        <v>570</v>
      </c>
      <c r="F13">
        <v>2018</v>
      </c>
      <c r="G13" t="s">
        <v>546</v>
      </c>
    </row>
    <row r="14" spans="1:7" x14ac:dyDescent="0.3">
      <c r="A14" t="s">
        <v>90</v>
      </c>
      <c r="B14" s="1">
        <v>43189</v>
      </c>
      <c r="C14" t="s">
        <v>571</v>
      </c>
      <c r="D14" t="s">
        <v>548</v>
      </c>
      <c r="E14" t="s">
        <v>549</v>
      </c>
      <c r="F14">
        <v>2018</v>
      </c>
      <c r="G14" t="s">
        <v>541</v>
      </c>
    </row>
    <row r="15" spans="1:7" x14ac:dyDescent="0.3">
      <c r="A15" t="s">
        <v>123</v>
      </c>
      <c r="B15" s="1">
        <v>43135</v>
      </c>
      <c r="C15" t="s">
        <v>572</v>
      </c>
      <c r="D15" t="s">
        <v>548</v>
      </c>
      <c r="E15" t="s">
        <v>558</v>
      </c>
      <c r="F15">
        <v>2018</v>
      </c>
      <c r="G15" t="s">
        <v>544</v>
      </c>
    </row>
    <row r="16" spans="1:7" x14ac:dyDescent="0.3">
      <c r="A16" t="s">
        <v>256</v>
      </c>
      <c r="B16" s="1">
        <v>43429</v>
      </c>
      <c r="C16" t="s">
        <v>573</v>
      </c>
      <c r="D16" t="s">
        <v>539</v>
      </c>
      <c r="E16" t="s">
        <v>540</v>
      </c>
      <c r="F16">
        <v>2018</v>
      </c>
      <c r="G16" t="s">
        <v>567</v>
      </c>
    </row>
    <row r="17" spans="1:7" x14ac:dyDescent="0.3">
      <c r="A17" t="s">
        <v>7</v>
      </c>
      <c r="B17" s="1">
        <v>43337</v>
      </c>
      <c r="C17" t="s">
        <v>542</v>
      </c>
      <c r="D17" t="s">
        <v>539</v>
      </c>
      <c r="E17" t="s">
        <v>540</v>
      </c>
      <c r="F17">
        <v>2018</v>
      </c>
      <c r="G17" t="s">
        <v>554</v>
      </c>
    </row>
    <row r="18" spans="1:7" x14ac:dyDescent="0.3">
      <c r="A18" t="s">
        <v>480</v>
      </c>
      <c r="B18" s="1">
        <v>43435</v>
      </c>
      <c r="C18" t="s">
        <v>551</v>
      </c>
      <c r="D18" t="s">
        <v>539</v>
      </c>
      <c r="E18" t="s">
        <v>556</v>
      </c>
      <c r="F18">
        <v>2018</v>
      </c>
      <c r="G18" t="s">
        <v>550</v>
      </c>
    </row>
    <row r="19" spans="1:7" x14ac:dyDescent="0.3">
      <c r="A19" t="s">
        <v>112</v>
      </c>
      <c r="B19" s="1">
        <v>43391</v>
      </c>
      <c r="C19" t="s">
        <v>574</v>
      </c>
      <c r="D19" t="s">
        <v>548</v>
      </c>
      <c r="E19" t="s">
        <v>549</v>
      </c>
      <c r="F19">
        <v>2018</v>
      </c>
      <c r="G19" t="s">
        <v>563</v>
      </c>
    </row>
    <row r="20" spans="1:7" x14ac:dyDescent="0.3">
      <c r="A20" t="s">
        <v>244</v>
      </c>
      <c r="B20" s="1">
        <v>43412</v>
      </c>
      <c r="C20" t="s">
        <v>575</v>
      </c>
      <c r="D20" t="s">
        <v>569</v>
      </c>
      <c r="E20" t="s">
        <v>576</v>
      </c>
      <c r="F20">
        <v>2018</v>
      </c>
      <c r="G20" t="s">
        <v>567</v>
      </c>
    </row>
    <row r="21" spans="1:7" x14ac:dyDescent="0.3">
      <c r="A21" t="s">
        <v>366</v>
      </c>
      <c r="B21" s="1">
        <v>43419</v>
      </c>
      <c r="C21" t="s">
        <v>577</v>
      </c>
      <c r="D21" t="s">
        <v>578</v>
      </c>
      <c r="E21" t="s">
        <v>579</v>
      </c>
      <c r="F21">
        <v>2018</v>
      </c>
      <c r="G21" t="s">
        <v>567</v>
      </c>
    </row>
    <row r="22" spans="1:7" x14ac:dyDescent="0.3">
      <c r="A22" t="s">
        <v>222</v>
      </c>
      <c r="B22" s="1">
        <v>43399</v>
      </c>
      <c r="C22" t="s">
        <v>580</v>
      </c>
      <c r="D22" t="s">
        <v>581</v>
      </c>
      <c r="E22" t="s">
        <v>582</v>
      </c>
      <c r="F22">
        <v>2018</v>
      </c>
      <c r="G22" t="s">
        <v>563</v>
      </c>
    </row>
    <row r="23" spans="1:7" x14ac:dyDescent="0.3">
      <c r="A23" t="s">
        <v>327</v>
      </c>
      <c r="B23" s="1">
        <v>43362</v>
      </c>
      <c r="C23" t="s">
        <v>545</v>
      </c>
      <c r="D23" t="s">
        <v>539</v>
      </c>
      <c r="E23" t="s">
        <v>540</v>
      </c>
      <c r="F23">
        <v>2018</v>
      </c>
      <c r="G23" t="s">
        <v>583</v>
      </c>
    </row>
    <row r="24" spans="1:7" x14ac:dyDescent="0.3">
      <c r="A24" t="s">
        <v>191</v>
      </c>
      <c r="B24" s="1">
        <v>43262</v>
      </c>
      <c r="C24" t="s">
        <v>584</v>
      </c>
      <c r="D24" t="s">
        <v>581</v>
      </c>
      <c r="E24" t="s">
        <v>582</v>
      </c>
      <c r="F24">
        <v>2018</v>
      </c>
      <c r="G24" t="s">
        <v>585</v>
      </c>
    </row>
    <row r="25" spans="1:7" x14ac:dyDescent="0.3">
      <c r="A25" t="s">
        <v>521</v>
      </c>
      <c r="B25" s="1">
        <v>43149</v>
      </c>
      <c r="C25" t="s">
        <v>586</v>
      </c>
      <c r="D25" t="s">
        <v>587</v>
      </c>
      <c r="E25" t="s">
        <v>588</v>
      </c>
      <c r="F25">
        <v>2018</v>
      </c>
      <c r="G25" t="s">
        <v>544</v>
      </c>
    </row>
    <row r="26" spans="1:7" x14ac:dyDescent="0.3">
      <c r="A26" t="s">
        <v>226</v>
      </c>
      <c r="B26" s="1">
        <v>43139</v>
      </c>
      <c r="C26" t="s">
        <v>589</v>
      </c>
      <c r="D26" t="s">
        <v>552</v>
      </c>
      <c r="E26" t="s">
        <v>590</v>
      </c>
      <c r="F26">
        <v>2018</v>
      </c>
      <c r="G26" t="s">
        <v>544</v>
      </c>
    </row>
    <row r="27" spans="1:7" x14ac:dyDescent="0.3">
      <c r="A27" t="s">
        <v>175</v>
      </c>
      <c r="B27" s="1">
        <v>43331</v>
      </c>
      <c r="C27" t="s">
        <v>591</v>
      </c>
      <c r="D27" t="s">
        <v>592</v>
      </c>
      <c r="E27" t="s">
        <v>593</v>
      </c>
      <c r="F27">
        <v>2018</v>
      </c>
      <c r="G27" t="s">
        <v>554</v>
      </c>
    </row>
    <row r="28" spans="1:7" x14ac:dyDescent="0.3">
      <c r="A28" t="s">
        <v>245</v>
      </c>
      <c r="B28" s="1">
        <v>43444</v>
      </c>
      <c r="C28" t="s">
        <v>594</v>
      </c>
      <c r="D28" t="s">
        <v>548</v>
      </c>
      <c r="E28" t="s">
        <v>549</v>
      </c>
      <c r="F28">
        <v>2018</v>
      </c>
      <c r="G28" t="s">
        <v>550</v>
      </c>
    </row>
    <row r="29" spans="1:7" x14ac:dyDescent="0.3">
      <c r="A29" t="s">
        <v>387</v>
      </c>
      <c r="B29" s="1">
        <v>43104</v>
      </c>
      <c r="C29" t="s">
        <v>595</v>
      </c>
      <c r="D29" t="s">
        <v>596</v>
      </c>
      <c r="E29" t="s">
        <v>597</v>
      </c>
      <c r="F29">
        <v>2018</v>
      </c>
      <c r="G29" t="s">
        <v>546</v>
      </c>
    </row>
    <row r="30" spans="1:7" x14ac:dyDescent="0.3">
      <c r="A30" t="s">
        <v>155</v>
      </c>
      <c r="B30" s="1">
        <v>43373</v>
      </c>
      <c r="C30" t="s">
        <v>598</v>
      </c>
      <c r="D30" t="s">
        <v>552</v>
      </c>
      <c r="E30" t="s">
        <v>553</v>
      </c>
      <c r="F30">
        <v>2018</v>
      </c>
      <c r="G30" t="s">
        <v>583</v>
      </c>
    </row>
    <row r="31" spans="1:7" x14ac:dyDescent="0.3">
      <c r="A31" t="s">
        <v>328</v>
      </c>
      <c r="B31" s="1">
        <v>43217</v>
      </c>
      <c r="C31" t="s">
        <v>599</v>
      </c>
      <c r="D31" t="s">
        <v>552</v>
      </c>
      <c r="E31" t="s">
        <v>590</v>
      </c>
      <c r="F31">
        <v>2018</v>
      </c>
      <c r="G31" t="s">
        <v>565</v>
      </c>
    </row>
    <row r="32" spans="1:7" x14ac:dyDescent="0.3">
      <c r="A32" t="s">
        <v>63</v>
      </c>
      <c r="B32" s="1">
        <v>43255</v>
      </c>
      <c r="C32" t="s">
        <v>600</v>
      </c>
      <c r="D32" t="s">
        <v>552</v>
      </c>
      <c r="E32" t="s">
        <v>553</v>
      </c>
      <c r="F32">
        <v>2018</v>
      </c>
      <c r="G32" t="s">
        <v>585</v>
      </c>
    </row>
    <row r="33" spans="1:7" x14ac:dyDescent="0.3">
      <c r="A33" t="s">
        <v>225</v>
      </c>
      <c r="B33" s="1">
        <v>43447</v>
      </c>
      <c r="C33" t="s">
        <v>601</v>
      </c>
      <c r="D33" t="s">
        <v>548</v>
      </c>
      <c r="E33" t="s">
        <v>558</v>
      </c>
      <c r="F33">
        <v>2018</v>
      </c>
      <c r="G33" t="s">
        <v>550</v>
      </c>
    </row>
    <row r="34" spans="1:7" x14ac:dyDescent="0.3">
      <c r="A34" t="s">
        <v>221</v>
      </c>
      <c r="B34" s="1">
        <v>43448</v>
      </c>
      <c r="C34" t="s">
        <v>602</v>
      </c>
      <c r="D34" t="s">
        <v>543</v>
      </c>
      <c r="E34" t="s">
        <v>543</v>
      </c>
      <c r="F34">
        <v>2018</v>
      </c>
      <c r="G34" t="s">
        <v>550</v>
      </c>
    </row>
    <row r="35" spans="1:7" x14ac:dyDescent="0.3">
      <c r="A35" t="s">
        <v>95</v>
      </c>
      <c r="B35" s="1">
        <v>43113</v>
      </c>
      <c r="C35" t="s">
        <v>603</v>
      </c>
      <c r="D35" t="s">
        <v>552</v>
      </c>
      <c r="E35" t="s">
        <v>553</v>
      </c>
      <c r="F35">
        <v>2018</v>
      </c>
      <c r="G35" t="s">
        <v>546</v>
      </c>
    </row>
    <row r="36" spans="1:7" x14ac:dyDescent="0.3">
      <c r="A36" t="s">
        <v>525</v>
      </c>
      <c r="B36" s="1">
        <v>43202</v>
      </c>
      <c r="C36" t="s">
        <v>604</v>
      </c>
      <c r="D36" t="s">
        <v>605</v>
      </c>
      <c r="E36" t="s">
        <v>588</v>
      </c>
      <c r="F36">
        <v>2018</v>
      </c>
      <c r="G36" t="s">
        <v>565</v>
      </c>
    </row>
    <row r="37" spans="1:7" x14ac:dyDescent="0.3">
      <c r="A37" t="s">
        <v>98</v>
      </c>
      <c r="B37" s="1">
        <v>43457</v>
      </c>
      <c r="C37" t="s">
        <v>606</v>
      </c>
      <c r="D37" t="s">
        <v>607</v>
      </c>
      <c r="E37" t="s">
        <v>608</v>
      </c>
      <c r="F37">
        <v>2018</v>
      </c>
      <c r="G37" t="s">
        <v>550</v>
      </c>
    </row>
    <row r="38" spans="1:7" x14ac:dyDescent="0.3">
      <c r="A38" t="s">
        <v>479</v>
      </c>
      <c r="B38" s="1">
        <v>43344</v>
      </c>
      <c r="C38" t="s">
        <v>609</v>
      </c>
      <c r="D38" t="s">
        <v>610</v>
      </c>
      <c r="E38" t="s">
        <v>611</v>
      </c>
      <c r="F38">
        <v>2018</v>
      </c>
      <c r="G38" t="s">
        <v>583</v>
      </c>
    </row>
    <row r="39" spans="1:7" x14ac:dyDescent="0.3">
      <c r="A39" t="s">
        <v>415</v>
      </c>
      <c r="B39" s="1">
        <v>43214</v>
      </c>
      <c r="C39" t="s">
        <v>612</v>
      </c>
      <c r="D39" t="s">
        <v>592</v>
      </c>
      <c r="E39" t="s">
        <v>593</v>
      </c>
      <c r="F39">
        <v>2018</v>
      </c>
      <c r="G39" t="s">
        <v>565</v>
      </c>
    </row>
    <row r="40" spans="1:7" x14ac:dyDescent="0.3">
      <c r="A40" t="s">
        <v>418</v>
      </c>
      <c r="B40" s="1">
        <v>43303</v>
      </c>
      <c r="C40" t="s">
        <v>613</v>
      </c>
      <c r="D40" t="s">
        <v>552</v>
      </c>
      <c r="E40" t="s">
        <v>590</v>
      </c>
      <c r="F40">
        <v>2018</v>
      </c>
      <c r="G40" t="s">
        <v>614</v>
      </c>
    </row>
    <row r="41" spans="1:7" x14ac:dyDescent="0.3">
      <c r="A41" t="s">
        <v>383</v>
      </c>
      <c r="B41" s="1">
        <v>43109</v>
      </c>
      <c r="C41" t="s">
        <v>615</v>
      </c>
      <c r="D41" t="s">
        <v>569</v>
      </c>
      <c r="E41" t="s">
        <v>576</v>
      </c>
      <c r="F41">
        <v>2018</v>
      </c>
      <c r="G41" t="s">
        <v>546</v>
      </c>
    </row>
    <row r="42" spans="1:7" x14ac:dyDescent="0.3">
      <c r="A42" t="s">
        <v>520</v>
      </c>
      <c r="B42" s="1">
        <v>43406</v>
      </c>
      <c r="C42" t="s">
        <v>616</v>
      </c>
      <c r="D42" t="s">
        <v>548</v>
      </c>
      <c r="E42" t="s">
        <v>558</v>
      </c>
      <c r="F42">
        <v>2018</v>
      </c>
      <c r="G42" t="s">
        <v>567</v>
      </c>
    </row>
    <row r="43" spans="1:7" x14ac:dyDescent="0.3">
      <c r="A43" t="s">
        <v>371</v>
      </c>
      <c r="B43" s="1">
        <v>43180</v>
      </c>
      <c r="C43" t="s">
        <v>617</v>
      </c>
      <c r="D43" t="s">
        <v>552</v>
      </c>
      <c r="E43" t="s">
        <v>553</v>
      </c>
      <c r="F43">
        <v>2018</v>
      </c>
      <c r="G43" t="s">
        <v>541</v>
      </c>
    </row>
    <row r="44" spans="1:7" x14ac:dyDescent="0.3">
      <c r="A44" t="s">
        <v>417</v>
      </c>
      <c r="B44" s="1">
        <v>43354</v>
      </c>
      <c r="C44" t="s">
        <v>618</v>
      </c>
      <c r="D44" t="s">
        <v>548</v>
      </c>
      <c r="E44" t="s">
        <v>549</v>
      </c>
      <c r="F44">
        <v>2018</v>
      </c>
      <c r="G44" t="s">
        <v>583</v>
      </c>
    </row>
    <row r="45" spans="1:7" x14ac:dyDescent="0.3">
      <c r="A45" t="s">
        <v>176</v>
      </c>
      <c r="B45" s="1">
        <v>43293</v>
      </c>
      <c r="C45" t="s">
        <v>619</v>
      </c>
      <c r="D45" t="s">
        <v>539</v>
      </c>
      <c r="E45" t="s">
        <v>620</v>
      </c>
      <c r="F45">
        <v>2018</v>
      </c>
      <c r="G45" t="s">
        <v>614</v>
      </c>
    </row>
    <row r="46" spans="1:7" x14ac:dyDescent="0.3">
      <c r="A46" t="s">
        <v>276</v>
      </c>
      <c r="B46" s="1">
        <v>43185</v>
      </c>
      <c r="C46" t="s">
        <v>586</v>
      </c>
      <c r="D46" t="s">
        <v>587</v>
      </c>
      <c r="E46" t="s">
        <v>588</v>
      </c>
      <c r="F46">
        <v>2018</v>
      </c>
      <c r="G46" t="s">
        <v>541</v>
      </c>
    </row>
    <row r="47" spans="1:7" x14ac:dyDescent="0.3">
      <c r="A47" t="s">
        <v>311</v>
      </c>
      <c r="B47" s="1">
        <v>43163</v>
      </c>
      <c r="C47" t="s">
        <v>621</v>
      </c>
      <c r="D47" t="s">
        <v>548</v>
      </c>
      <c r="E47" t="s">
        <v>558</v>
      </c>
      <c r="F47">
        <v>2018</v>
      </c>
      <c r="G47" t="s">
        <v>541</v>
      </c>
    </row>
    <row r="48" spans="1:7" x14ac:dyDescent="0.3">
      <c r="A48" t="s">
        <v>363</v>
      </c>
      <c r="B48" s="1">
        <v>43367</v>
      </c>
      <c r="C48" t="s">
        <v>622</v>
      </c>
      <c r="D48" t="s">
        <v>552</v>
      </c>
      <c r="E48" t="s">
        <v>553</v>
      </c>
      <c r="F48">
        <v>2018</v>
      </c>
      <c r="G48" t="s">
        <v>583</v>
      </c>
    </row>
    <row r="49" spans="1:7" x14ac:dyDescent="0.3">
      <c r="A49" t="s">
        <v>89</v>
      </c>
      <c r="B49" s="1">
        <v>43231</v>
      </c>
      <c r="C49" t="s">
        <v>623</v>
      </c>
      <c r="D49" t="s">
        <v>548</v>
      </c>
      <c r="E49" t="s">
        <v>558</v>
      </c>
      <c r="F49">
        <v>2018</v>
      </c>
      <c r="G49" t="s">
        <v>624</v>
      </c>
    </row>
    <row r="50" spans="1:7" x14ac:dyDescent="0.3">
      <c r="A50" t="s">
        <v>360</v>
      </c>
      <c r="B50" s="1">
        <v>43198</v>
      </c>
      <c r="C50" t="s">
        <v>625</v>
      </c>
      <c r="D50" t="s">
        <v>626</v>
      </c>
      <c r="E50" t="s">
        <v>627</v>
      </c>
      <c r="F50">
        <v>2018</v>
      </c>
      <c r="G50" t="s">
        <v>565</v>
      </c>
    </row>
    <row r="51" spans="1:7" x14ac:dyDescent="0.3">
      <c r="A51" t="s">
        <v>26</v>
      </c>
      <c r="B51" s="1">
        <v>43326</v>
      </c>
      <c r="C51" t="s">
        <v>628</v>
      </c>
      <c r="D51" t="s">
        <v>552</v>
      </c>
      <c r="E51" t="s">
        <v>553</v>
      </c>
      <c r="F51">
        <v>2018</v>
      </c>
      <c r="G51" t="s">
        <v>554</v>
      </c>
    </row>
    <row r="52" spans="1:7" x14ac:dyDescent="0.3">
      <c r="A52" t="s">
        <v>416</v>
      </c>
      <c r="B52" s="1">
        <v>43355</v>
      </c>
      <c r="C52" t="s">
        <v>629</v>
      </c>
      <c r="D52" t="s">
        <v>548</v>
      </c>
      <c r="E52" t="s">
        <v>558</v>
      </c>
      <c r="F52">
        <v>2018</v>
      </c>
      <c r="G52" t="s">
        <v>583</v>
      </c>
    </row>
    <row r="53" spans="1:7" x14ac:dyDescent="0.3">
      <c r="A53" t="s">
        <v>25</v>
      </c>
      <c r="B53" s="1">
        <v>43193</v>
      </c>
      <c r="C53" t="s">
        <v>630</v>
      </c>
      <c r="D53" t="s">
        <v>552</v>
      </c>
      <c r="E53" t="s">
        <v>590</v>
      </c>
      <c r="F53">
        <v>2018</v>
      </c>
      <c r="G53" t="s">
        <v>565</v>
      </c>
    </row>
    <row r="54" spans="1:7" x14ac:dyDescent="0.3">
      <c r="A54" t="s">
        <v>314</v>
      </c>
      <c r="B54" s="1">
        <v>43166</v>
      </c>
      <c r="C54" t="s">
        <v>631</v>
      </c>
      <c r="D54" t="s">
        <v>632</v>
      </c>
      <c r="E54" t="s">
        <v>633</v>
      </c>
      <c r="F54">
        <v>2018</v>
      </c>
      <c r="G54" t="s">
        <v>541</v>
      </c>
    </row>
    <row r="55" spans="1:7" x14ac:dyDescent="0.3">
      <c r="A55" t="s">
        <v>131</v>
      </c>
      <c r="B55" s="1">
        <v>43228</v>
      </c>
      <c r="C55" t="s">
        <v>634</v>
      </c>
      <c r="D55" t="s">
        <v>596</v>
      </c>
      <c r="E55" t="s">
        <v>597</v>
      </c>
      <c r="F55">
        <v>2018</v>
      </c>
      <c r="G55" t="s">
        <v>624</v>
      </c>
    </row>
    <row r="56" spans="1:7" x14ac:dyDescent="0.3">
      <c r="A56" t="s">
        <v>139</v>
      </c>
      <c r="B56" s="1">
        <v>43412</v>
      </c>
      <c r="C56" t="s">
        <v>635</v>
      </c>
      <c r="D56" t="s">
        <v>552</v>
      </c>
      <c r="E56" t="s">
        <v>590</v>
      </c>
      <c r="F56">
        <v>2018</v>
      </c>
      <c r="G56" t="s">
        <v>567</v>
      </c>
    </row>
    <row r="57" spans="1:7" x14ac:dyDescent="0.3">
      <c r="A57" t="s">
        <v>206</v>
      </c>
      <c r="B57" s="1">
        <v>43338</v>
      </c>
      <c r="C57" t="s">
        <v>636</v>
      </c>
      <c r="D57" t="s">
        <v>552</v>
      </c>
      <c r="E57" t="s">
        <v>553</v>
      </c>
      <c r="F57">
        <v>2018</v>
      </c>
      <c r="G57" t="s">
        <v>554</v>
      </c>
    </row>
    <row r="58" spans="1:7" x14ac:dyDescent="0.3">
      <c r="A58" t="s">
        <v>413</v>
      </c>
      <c r="B58" s="1">
        <v>43135</v>
      </c>
      <c r="C58" t="s">
        <v>637</v>
      </c>
      <c r="D58" t="s">
        <v>543</v>
      </c>
      <c r="E58" t="s">
        <v>543</v>
      </c>
      <c r="F58">
        <v>2018</v>
      </c>
      <c r="G58" t="s">
        <v>544</v>
      </c>
    </row>
    <row r="59" spans="1:7" x14ac:dyDescent="0.3">
      <c r="A59" t="s">
        <v>331</v>
      </c>
      <c r="B59" s="1">
        <v>43102</v>
      </c>
      <c r="C59" t="s">
        <v>638</v>
      </c>
      <c r="D59" t="s">
        <v>592</v>
      </c>
      <c r="E59" t="s">
        <v>593</v>
      </c>
      <c r="F59">
        <v>2018</v>
      </c>
      <c r="G59" t="s">
        <v>546</v>
      </c>
    </row>
    <row r="60" spans="1:7" x14ac:dyDescent="0.3">
      <c r="A60" t="s">
        <v>478</v>
      </c>
      <c r="B60" s="1">
        <v>43140</v>
      </c>
      <c r="C60" t="s">
        <v>639</v>
      </c>
      <c r="D60" t="s">
        <v>610</v>
      </c>
      <c r="E60" t="s">
        <v>611</v>
      </c>
      <c r="F60">
        <v>2018</v>
      </c>
      <c r="G60" t="s">
        <v>544</v>
      </c>
    </row>
    <row r="61" spans="1:7" x14ac:dyDescent="0.3">
      <c r="A61" t="s">
        <v>50</v>
      </c>
      <c r="B61" s="1">
        <v>43273</v>
      </c>
      <c r="C61" t="s">
        <v>640</v>
      </c>
      <c r="D61" t="s">
        <v>641</v>
      </c>
      <c r="E61" t="s">
        <v>642</v>
      </c>
      <c r="F61">
        <v>2018</v>
      </c>
      <c r="G61" t="s">
        <v>585</v>
      </c>
    </row>
    <row r="62" spans="1:7" x14ac:dyDescent="0.3">
      <c r="A62" t="s">
        <v>527</v>
      </c>
      <c r="B62" s="1">
        <v>43402</v>
      </c>
      <c r="C62" t="s">
        <v>643</v>
      </c>
      <c r="D62" t="s">
        <v>548</v>
      </c>
      <c r="E62" t="s">
        <v>558</v>
      </c>
      <c r="F62">
        <v>2018</v>
      </c>
      <c r="G62" t="s">
        <v>563</v>
      </c>
    </row>
    <row r="63" spans="1:7" x14ac:dyDescent="0.3">
      <c r="A63" t="s">
        <v>357</v>
      </c>
      <c r="B63" s="1">
        <v>43191</v>
      </c>
      <c r="C63" t="s">
        <v>644</v>
      </c>
      <c r="D63" t="s">
        <v>569</v>
      </c>
      <c r="E63" t="s">
        <v>576</v>
      </c>
      <c r="F63">
        <v>2018</v>
      </c>
      <c r="G63" t="s">
        <v>565</v>
      </c>
    </row>
    <row r="64" spans="1:7" x14ac:dyDescent="0.3">
      <c r="A64" t="s">
        <v>80</v>
      </c>
      <c r="B64" s="1">
        <v>43427</v>
      </c>
      <c r="C64" t="s">
        <v>645</v>
      </c>
      <c r="D64" t="s">
        <v>552</v>
      </c>
      <c r="E64" t="s">
        <v>553</v>
      </c>
      <c r="F64">
        <v>2018</v>
      </c>
      <c r="G64" t="s">
        <v>567</v>
      </c>
    </row>
    <row r="65" spans="1:7" x14ac:dyDescent="0.3">
      <c r="A65" t="s">
        <v>77</v>
      </c>
      <c r="B65" s="1">
        <v>43151</v>
      </c>
      <c r="C65" t="s">
        <v>646</v>
      </c>
      <c r="D65" t="s">
        <v>561</v>
      </c>
      <c r="E65" t="s">
        <v>562</v>
      </c>
      <c r="F65">
        <v>2018</v>
      </c>
      <c r="G65" t="s">
        <v>544</v>
      </c>
    </row>
    <row r="66" spans="1:7" x14ac:dyDescent="0.3">
      <c r="A66" t="s">
        <v>408</v>
      </c>
      <c r="B66" s="1">
        <v>43120</v>
      </c>
      <c r="C66" t="s">
        <v>647</v>
      </c>
      <c r="D66" t="s">
        <v>548</v>
      </c>
      <c r="E66" t="s">
        <v>558</v>
      </c>
      <c r="F66">
        <v>2018</v>
      </c>
      <c r="G66" t="s">
        <v>546</v>
      </c>
    </row>
    <row r="67" spans="1:7" x14ac:dyDescent="0.3">
      <c r="A67" t="s">
        <v>147</v>
      </c>
      <c r="B67" s="1">
        <v>43252</v>
      </c>
      <c r="C67" t="s">
        <v>648</v>
      </c>
      <c r="D67" t="s">
        <v>607</v>
      </c>
      <c r="E67" t="s">
        <v>649</v>
      </c>
      <c r="F67">
        <v>2018</v>
      </c>
      <c r="G67" t="s">
        <v>585</v>
      </c>
    </row>
    <row r="68" spans="1:7" x14ac:dyDescent="0.3">
      <c r="A68" t="s">
        <v>512</v>
      </c>
      <c r="B68" s="1">
        <v>43403</v>
      </c>
      <c r="C68" t="s">
        <v>650</v>
      </c>
      <c r="D68" t="s">
        <v>632</v>
      </c>
      <c r="E68" t="s">
        <v>633</v>
      </c>
      <c r="F68">
        <v>2018</v>
      </c>
      <c r="G68" t="s">
        <v>563</v>
      </c>
    </row>
    <row r="69" spans="1:7" x14ac:dyDescent="0.3">
      <c r="A69" t="s">
        <v>404</v>
      </c>
      <c r="B69" s="1">
        <v>43438</v>
      </c>
      <c r="C69" t="s">
        <v>651</v>
      </c>
      <c r="D69" t="s">
        <v>587</v>
      </c>
      <c r="E69" t="s">
        <v>652</v>
      </c>
      <c r="F69">
        <v>2018</v>
      </c>
      <c r="G69" t="s">
        <v>550</v>
      </c>
    </row>
    <row r="70" spans="1:7" x14ac:dyDescent="0.3">
      <c r="A70" t="s">
        <v>119</v>
      </c>
      <c r="B70" s="1">
        <v>43463</v>
      </c>
      <c r="C70" t="s">
        <v>603</v>
      </c>
      <c r="D70" t="s">
        <v>548</v>
      </c>
      <c r="E70" t="s">
        <v>549</v>
      </c>
      <c r="F70">
        <v>2018</v>
      </c>
      <c r="G70" t="s">
        <v>550</v>
      </c>
    </row>
    <row r="71" spans="1:7" x14ac:dyDescent="0.3">
      <c r="A71" t="s">
        <v>129</v>
      </c>
      <c r="B71" s="1">
        <v>43114</v>
      </c>
      <c r="C71" t="s">
        <v>653</v>
      </c>
      <c r="D71" t="s">
        <v>561</v>
      </c>
      <c r="E71" t="s">
        <v>562</v>
      </c>
      <c r="F71">
        <v>2018</v>
      </c>
      <c r="G71" t="s">
        <v>546</v>
      </c>
    </row>
    <row r="72" spans="1:7" x14ac:dyDescent="0.3">
      <c r="A72" t="s">
        <v>449</v>
      </c>
      <c r="B72" s="1">
        <v>43345</v>
      </c>
      <c r="C72" t="s">
        <v>654</v>
      </c>
      <c r="D72" t="s">
        <v>578</v>
      </c>
      <c r="E72" t="s">
        <v>579</v>
      </c>
      <c r="F72">
        <v>2018</v>
      </c>
      <c r="G72" t="s">
        <v>583</v>
      </c>
    </row>
    <row r="73" spans="1:7" x14ac:dyDescent="0.3">
      <c r="A73" t="s">
        <v>88</v>
      </c>
      <c r="B73" s="1">
        <v>43118</v>
      </c>
      <c r="C73" t="s">
        <v>655</v>
      </c>
      <c r="D73" t="s">
        <v>552</v>
      </c>
      <c r="E73" t="s">
        <v>553</v>
      </c>
      <c r="F73">
        <v>2018</v>
      </c>
      <c r="G73" t="s">
        <v>546</v>
      </c>
    </row>
    <row r="74" spans="1:7" x14ac:dyDescent="0.3">
      <c r="A74" t="s">
        <v>250</v>
      </c>
      <c r="B74" s="1">
        <v>43303</v>
      </c>
      <c r="C74" t="s">
        <v>656</v>
      </c>
      <c r="D74" t="s">
        <v>607</v>
      </c>
      <c r="E74" t="s">
        <v>649</v>
      </c>
      <c r="F74">
        <v>2018</v>
      </c>
      <c r="G74" t="s">
        <v>614</v>
      </c>
    </row>
    <row r="75" spans="1:7" x14ac:dyDescent="0.3">
      <c r="A75" t="s">
        <v>251</v>
      </c>
      <c r="B75" s="1">
        <v>43428</v>
      </c>
      <c r="C75" t="s">
        <v>657</v>
      </c>
      <c r="D75" t="s">
        <v>569</v>
      </c>
      <c r="E75" t="s">
        <v>570</v>
      </c>
      <c r="F75">
        <v>2018</v>
      </c>
      <c r="G75" t="s">
        <v>567</v>
      </c>
    </row>
    <row r="76" spans="1:7" x14ac:dyDescent="0.3">
      <c r="A76" t="s">
        <v>436</v>
      </c>
      <c r="B76" s="1">
        <v>43175</v>
      </c>
      <c r="C76" t="s">
        <v>658</v>
      </c>
      <c r="D76" t="s">
        <v>552</v>
      </c>
      <c r="E76" t="s">
        <v>590</v>
      </c>
      <c r="F76">
        <v>2018</v>
      </c>
      <c r="G76" t="s">
        <v>541</v>
      </c>
    </row>
    <row r="77" spans="1:7" x14ac:dyDescent="0.3">
      <c r="A77" t="s">
        <v>299</v>
      </c>
      <c r="B77" s="1">
        <v>43383</v>
      </c>
      <c r="C77" t="s">
        <v>659</v>
      </c>
      <c r="D77" t="s">
        <v>587</v>
      </c>
      <c r="E77" t="s">
        <v>588</v>
      </c>
      <c r="F77">
        <v>2018</v>
      </c>
      <c r="G77" t="s">
        <v>563</v>
      </c>
    </row>
    <row r="78" spans="1:7" x14ac:dyDescent="0.3">
      <c r="A78" t="s">
        <v>71</v>
      </c>
      <c r="B78" s="1">
        <v>43422</v>
      </c>
      <c r="C78" t="s">
        <v>660</v>
      </c>
      <c r="D78" t="s">
        <v>661</v>
      </c>
      <c r="E78" t="s">
        <v>661</v>
      </c>
      <c r="F78">
        <v>2018</v>
      </c>
      <c r="G78" t="s">
        <v>567</v>
      </c>
    </row>
    <row r="79" spans="1:7" x14ac:dyDescent="0.3">
      <c r="A79" t="s">
        <v>285</v>
      </c>
      <c r="B79" s="1">
        <v>43150</v>
      </c>
      <c r="C79" t="s">
        <v>662</v>
      </c>
      <c r="D79" t="s">
        <v>605</v>
      </c>
      <c r="E79" t="s">
        <v>588</v>
      </c>
      <c r="F79">
        <v>2018</v>
      </c>
      <c r="G79" t="s">
        <v>544</v>
      </c>
    </row>
    <row r="80" spans="1:7" x14ac:dyDescent="0.3">
      <c r="A80" t="s">
        <v>37</v>
      </c>
      <c r="B80" s="1">
        <v>43213</v>
      </c>
      <c r="C80" t="s">
        <v>571</v>
      </c>
      <c r="D80" t="s">
        <v>548</v>
      </c>
      <c r="E80" t="s">
        <v>549</v>
      </c>
      <c r="F80">
        <v>2018</v>
      </c>
      <c r="G80" t="s">
        <v>565</v>
      </c>
    </row>
    <row r="81" spans="1:7" x14ac:dyDescent="0.3">
      <c r="A81" t="s">
        <v>414</v>
      </c>
      <c r="B81" s="1">
        <v>43105</v>
      </c>
      <c r="C81" t="s">
        <v>663</v>
      </c>
      <c r="D81" t="s">
        <v>605</v>
      </c>
      <c r="E81" t="s">
        <v>588</v>
      </c>
      <c r="F81">
        <v>2018</v>
      </c>
      <c r="G81" t="s">
        <v>546</v>
      </c>
    </row>
    <row r="82" spans="1:7" x14ac:dyDescent="0.3">
      <c r="A82" t="s">
        <v>205</v>
      </c>
      <c r="B82" s="1">
        <v>43199</v>
      </c>
      <c r="C82" t="s">
        <v>572</v>
      </c>
      <c r="D82" t="s">
        <v>578</v>
      </c>
      <c r="E82" t="s">
        <v>579</v>
      </c>
      <c r="F82">
        <v>2018</v>
      </c>
      <c r="G82" t="s">
        <v>565</v>
      </c>
    </row>
    <row r="83" spans="1:7" x14ac:dyDescent="0.3">
      <c r="A83" t="s">
        <v>424</v>
      </c>
      <c r="B83" s="1">
        <v>43353</v>
      </c>
      <c r="C83" t="s">
        <v>664</v>
      </c>
      <c r="D83" t="s">
        <v>552</v>
      </c>
      <c r="E83" t="s">
        <v>553</v>
      </c>
      <c r="F83">
        <v>2018</v>
      </c>
      <c r="G83" t="s">
        <v>583</v>
      </c>
    </row>
    <row r="84" spans="1:7" x14ac:dyDescent="0.3">
      <c r="A84" t="s">
        <v>157</v>
      </c>
      <c r="B84" s="1">
        <v>43314</v>
      </c>
      <c r="C84" t="s">
        <v>665</v>
      </c>
      <c r="D84" t="s">
        <v>587</v>
      </c>
      <c r="E84" t="s">
        <v>588</v>
      </c>
      <c r="F84">
        <v>2018</v>
      </c>
      <c r="G84" t="s">
        <v>554</v>
      </c>
    </row>
    <row r="85" spans="1:7" x14ac:dyDescent="0.3">
      <c r="A85" t="s">
        <v>420</v>
      </c>
      <c r="B85" s="1">
        <v>43127</v>
      </c>
      <c r="C85" t="s">
        <v>666</v>
      </c>
      <c r="D85" t="s">
        <v>548</v>
      </c>
      <c r="E85" t="s">
        <v>549</v>
      </c>
      <c r="F85">
        <v>2018</v>
      </c>
      <c r="G85" t="s">
        <v>546</v>
      </c>
    </row>
    <row r="86" spans="1:7" x14ac:dyDescent="0.3">
      <c r="A86" t="s">
        <v>49</v>
      </c>
      <c r="B86" s="1">
        <v>43219</v>
      </c>
      <c r="C86" t="s">
        <v>667</v>
      </c>
      <c r="D86" t="s">
        <v>641</v>
      </c>
      <c r="E86" t="s">
        <v>642</v>
      </c>
      <c r="F86">
        <v>2018</v>
      </c>
      <c r="G86" t="s">
        <v>565</v>
      </c>
    </row>
    <row r="87" spans="1:7" x14ac:dyDescent="0.3">
      <c r="A87" t="s">
        <v>144</v>
      </c>
      <c r="B87" s="1">
        <v>43303</v>
      </c>
      <c r="C87" t="s">
        <v>668</v>
      </c>
      <c r="D87" t="s">
        <v>548</v>
      </c>
      <c r="E87" t="s">
        <v>558</v>
      </c>
      <c r="F87">
        <v>2018</v>
      </c>
      <c r="G87" t="s">
        <v>614</v>
      </c>
    </row>
    <row r="88" spans="1:7" x14ac:dyDescent="0.3">
      <c r="A88" t="s">
        <v>335</v>
      </c>
      <c r="B88" s="1">
        <v>43325</v>
      </c>
      <c r="C88" t="s">
        <v>665</v>
      </c>
      <c r="D88" t="s">
        <v>548</v>
      </c>
      <c r="E88" t="s">
        <v>549</v>
      </c>
      <c r="F88">
        <v>2018</v>
      </c>
      <c r="G88" t="s">
        <v>554</v>
      </c>
    </row>
    <row r="89" spans="1:7" x14ac:dyDescent="0.3">
      <c r="A89" t="s">
        <v>341</v>
      </c>
      <c r="B89" s="1">
        <v>43243</v>
      </c>
      <c r="C89" t="s">
        <v>669</v>
      </c>
      <c r="D89" t="s">
        <v>605</v>
      </c>
      <c r="E89" t="s">
        <v>588</v>
      </c>
      <c r="F89">
        <v>2018</v>
      </c>
      <c r="G89" t="s">
        <v>624</v>
      </c>
    </row>
    <row r="90" spans="1:7" x14ac:dyDescent="0.3">
      <c r="A90" t="s">
        <v>419</v>
      </c>
      <c r="B90" s="1">
        <v>43233</v>
      </c>
      <c r="C90" t="s">
        <v>658</v>
      </c>
      <c r="D90" t="s">
        <v>552</v>
      </c>
      <c r="E90" t="s">
        <v>590</v>
      </c>
      <c r="F90">
        <v>2018</v>
      </c>
      <c r="G90" t="s">
        <v>624</v>
      </c>
    </row>
    <row r="91" spans="1:7" x14ac:dyDescent="0.3">
      <c r="A91" t="s">
        <v>186</v>
      </c>
      <c r="B91" s="1">
        <v>43329</v>
      </c>
      <c r="C91" t="s">
        <v>670</v>
      </c>
      <c r="D91" t="s">
        <v>539</v>
      </c>
      <c r="E91" t="s">
        <v>620</v>
      </c>
      <c r="F91">
        <v>2018</v>
      </c>
      <c r="G91" t="s">
        <v>554</v>
      </c>
    </row>
    <row r="92" spans="1:7" x14ac:dyDescent="0.3">
      <c r="A92" t="s">
        <v>120</v>
      </c>
      <c r="B92" s="1">
        <v>43173</v>
      </c>
      <c r="C92" t="s">
        <v>671</v>
      </c>
      <c r="D92" t="s">
        <v>552</v>
      </c>
      <c r="E92" t="s">
        <v>553</v>
      </c>
      <c r="F92">
        <v>2018</v>
      </c>
      <c r="G92" t="s">
        <v>541</v>
      </c>
    </row>
    <row r="93" spans="1:7" x14ac:dyDescent="0.3">
      <c r="A93" t="s">
        <v>398</v>
      </c>
      <c r="B93" s="1">
        <v>43402</v>
      </c>
      <c r="C93" t="s">
        <v>654</v>
      </c>
      <c r="D93" t="s">
        <v>552</v>
      </c>
      <c r="E93" t="s">
        <v>553</v>
      </c>
      <c r="F93">
        <v>2018</v>
      </c>
      <c r="G93" t="s">
        <v>563</v>
      </c>
    </row>
    <row r="94" spans="1:7" x14ac:dyDescent="0.3">
      <c r="A94" t="s">
        <v>329</v>
      </c>
      <c r="B94" s="1">
        <v>43278</v>
      </c>
      <c r="C94" t="s">
        <v>672</v>
      </c>
      <c r="D94" t="s">
        <v>548</v>
      </c>
      <c r="E94" t="s">
        <v>549</v>
      </c>
      <c r="F94">
        <v>2018</v>
      </c>
      <c r="G94" t="s">
        <v>585</v>
      </c>
    </row>
    <row r="95" spans="1:7" x14ac:dyDescent="0.3">
      <c r="A95" t="s">
        <v>379</v>
      </c>
      <c r="B95" s="1">
        <v>43113</v>
      </c>
      <c r="C95" t="s">
        <v>623</v>
      </c>
      <c r="D95" t="s">
        <v>552</v>
      </c>
      <c r="E95" t="s">
        <v>553</v>
      </c>
      <c r="F95">
        <v>2018</v>
      </c>
      <c r="G95" t="s">
        <v>546</v>
      </c>
    </row>
    <row r="96" spans="1:7" x14ac:dyDescent="0.3">
      <c r="A96" t="s">
        <v>495</v>
      </c>
      <c r="B96" s="1">
        <v>43242</v>
      </c>
      <c r="C96" t="s">
        <v>673</v>
      </c>
      <c r="D96" t="s">
        <v>587</v>
      </c>
      <c r="E96" t="s">
        <v>588</v>
      </c>
      <c r="F96">
        <v>2018</v>
      </c>
      <c r="G96" t="s">
        <v>624</v>
      </c>
    </row>
    <row r="97" spans="1:7" x14ac:dyDescent="0.3">
      <c r="A97" t="s">
        <v>523</v>
      </c>
      <c r="B97" s="1">
        <v>43251</v>
      </c>
      <c r="C97" t="s">
        <v>674</v>
      </c>
      <c r="D97" t="s">
        <v>552</v>
      </c>
      <c r="E97" t="s">
        <v>590</v>
      </c>
      <c r="F97">
        <v>2018</v>
      </c>
      <c r="G97" t="s">
        <v>624</v>
      </c>
    </row>
    <row r="98" spans="1:7" x14ac:dyDescent="0.3">
      <c r="A98" t="s">
        <v>154</v>
      </c>
      <c r="B98" s="1">
        <v>43226</v>
      </c>
      <c r="C98" t="s">
        <v>675</v>
      </c>
      <c r="D98" t="s">
        <v>548</v>
      </c>
      <c r="E98" t="s">
        <v>549</v>
      </c>
      <c r="F98">
        <v>2018</v>
      </c>
      <c r="G98" t="s">
        <v>624</v>
      </c>
    </row>
    <row r="99" spans="1:7" x14ac:dyDescent="0.3">
      <c r="A99" t="s">
        <v>345</v>
      </c>
      <c r="B99" s="1">
        <v>43131</v>
      </c>
      <c r="C99" t="s">
        <v>676</v>
      </c>
      <c r="D99" t="s">
        <v>607</v>
      </c>
      <c r="E99" t="s">
        <v>608</v>
      </c>
      <c r="F99">
        <v>2018</v>
      </c>
      <c r="G99" t="s">
        <v>546</v>
      </c>
    </row>
    <row r="100" spans="1:7" x14ac:dyDescent="0.3">
      <c r="A100" t="s">
        <v>213</v>
      </c>
      <c r="B100" s="1">
        <v>43409</v>
      </c>
      <c r="C100" t="s">
        <v>677</v>
      </c>
      <c r="D100" t="s">
        <v>661</v>
      </c>
      <c r="E100" t="s">
        <v>661</v>
      </c>
      <c r="F100">
        <v>2018</v>
      </c>
      <c r="G100" t="s">
        <v>567</v>
      </c>
    </row>
    <row r="101" spans="1:7" x14ac:dyDescent="0.3">
      <c r="A101" t="s">
        <v>145</v>
      </c>
      <c r="B101" s="1">
        <v>43441</v>
      </c>
      <c r="C101" t="s">
        <v>677</v>
      </c>
      <c r="D101" t="s">
        <v>607</v>
      </c>
      <c r="E101" t="s">
        <v>608</v>
      </c>
      <c r="F101">
        <v>2018</v>
      </c>
      <c r="G101" t="s">
        <v>550</v>
      </c>
    </row>
    <row r="102" spans="1:7" x14ac:dyDescent="0.3">
      <c r="A102" t="s">
        <v>511</v>
      </c>
      <c r="B102" s="1">
        <v>43383</v>
      </c>
      <c r="C102" t="s">
        <v>678</v>
      </c>
      <c r="D102" t="s">
        <v>548</v>
      </c>
      <c r="E102" t="s">
        <v>549</v>
      </c>
      <c r="F102">
        <v>2018</v>
      </c>
      <c r="G102" t="s">
        <v>563</v>
      </c>
    </row>
    <row r="103" spans="1:7" x14ac:dyDescent="0.3">
      <c r="A103" t="s">
        <v>463</v>
      </c>
      <c r="B103" s="1">
        <v>43394</v>
      </c>
      <c r="C103" t="s">
        <v>679</v>
      </c>
      <c r="D103" t="s">
        <v>552</v>
      </c>
      <c r="E103" t="s">
        <v>553</v>
      </c>
      <c r="F103">
        <v>2018</v>
      </c>
      <c r="G103" t="s">
        <v>563</v>
      </c>
    </row>
    <row r="104" spans="1:7" x14ac:dyDescent="0.3">
      <c r="A104" t="s">
        <v>114</v>
      </c>
      <c r="B104" s="1">
        <v>43114</v>
      </c>
      <c r="C104" t="s">
        <v>680</v>
      </c>
      <c r="D104" t="s">
        <v>569</v>
      </c>
      <c r="E104" t="s">
        <v>576</v>
      </c>
      <c r="F104">
        <v>2018</v>
      </c>
      <c r="G104" t="s">
        <v>546</v>
      </c>
    </row>
    <row r="105" spans="1:7" x14ac:dyDescent="0.3">
      <c r="A105" t="s">
        <v>57</v>
      </c>
      <c r="B105" s="1">
        <v>43272</v>
      </c>
      <c r="C105" t="s">
        <v>681</v>
      </c>
      <c r="D105" t="s">
        <v>610</v>
      </c>
      <c r="E105" t="s">
        <v>611</v>
      </c>
      <c r="F105">
        <v>2018</v>
      </c>
      <c r="G105" t="s">
        <v>585</v>
      </c>
    </row>
    <row r="106" spans="1:7" x14ac:dyDescent="0.3">
      <c r="A106" t="s">
        <v>332</v>
      </c>
      <c r="B106" s="1">
        <v>43216</v>
      </c>
      <c r="C106" t="s">
        <v>621</v>
      </c>
      <c r="D106" t="s">
        <v>548</v>
      </c>
      <c r="E106" t="s">
        <v>558</v>
      </c>
      <c r="F106">
        <v>2018</v>
      </c>
      <c r="G106" t="s">
        <v>565</v>
      </c>
    </row>
    <row r="107" spans="1:7" x14ac:dyDescent="0.3">
      <c r="A107" t="s">
        <v>324</v>
      </c>
      <c r="B107" s="1">
        <v>43323</v>
      </c>
      <c r="C107" t="s">
        <v>682</v>
      </c>
      <c r="D107" t="s">
        <v>552</v>
      </c>
      <c r="E107" t="s">
        <v>590</v>
      </c>
      <c r="F107">
        <v>2018</v>
      </c>
      <c r="G107" t="s">
        <v>554</v>
      </c>
    </row>
    <row r="108" spans="1:7" x14ac:dyDescent="0.3">
      <c r="A108" t="s">
        <v>267</v>
      </c>
      <c r="B108" s="1">
        <v>43444</v>
      </c>
      <c r="C108" t="s">
        <v>683</v>
      </c>
      <c r="D108" t="s">
        <v>543</v>
      </c>
      <c r="E108" t="s">
        <v>543</v>
      </c>
      <c r="F108">
        <v>2018</v>
      </c>
      <c r="G108" t="s">
        <v>550</v>
      </c>
    </row>
    <row r="109" spans="1:7" x14ac:dyDescent="0.3">
      <c r="A109" t="s">
        <v>124</v>
      </c>
      <c r="B109" s="1">
        <v>43411</v>
      </c>
      <c r="C109" t="s">
        <v>684</v>
      </c>
      <c r="D109" t="s">
        <v>561</v>
      </c>
      <c r="E109" t="s">
        <v>562</v>
      </c>
      <c r="F109">
        <v>2018</v>
      </c>
      <c r="G109" t="s">
        <v>567</v>
      </c>
    </row>
    <row r="110" spans="1:7" x14ac:dyDescent="0.3">
      <c r="A110" t="s">
        <v>252</v>
      </c>
      <c r="B110" s="1">
        <v>43128</v>
      </c>
      <c r="C110" t="s">
        <v>685</v>
      </c>
      <c r="D110" t="s">
        <v>543</v>
      </c>
      <c r="E110" t="s">
        <v>543</v>
      </c>
      <c r="F110">
        <v>2018</v>
      </c>
      <c r="G110" t="s">
        <v>546</v>
      </c>
    </row>
    <row r="111" spans="1:7" x14ac:dyDescent="0.3">
      <c r="A111" t="s">
        <v>126</v>
      </c>
      <c r="B111" s="1">
        <v>43442</v>
      </c>
      <c r="C111" t="s">
        <v>686</v>
      </c>
      <c r="D111" t="s">
        <v>539</v>
      </c>
      <c r="E111" t="s">
        <v>556</v>
      </c>
      <c r="F111">
        <v>2018</v>
      </c>
      <c r="G111" t="s">
        <v>550</v>
      </c>
    </row>
    <row r="112" spans="1:7" x14ac:dyDescent="0.3">
      <c r="A112" t="s">
        <v>94</v>
      </c>
      <c r="B112" s="1">
        <v>43424</v>
      </c>
      <c r="C112" t="s">
        <v>687</v>
      </c>
      <c r="D112" t="s">
        <v>561</v>
      </c>
      <c r="E112" t="s">
        <v>562</v>
      </c>
      <c r="F112">
        <v>2018</v>
      </c>
      <c r="G112" t="s">
        <v>567</v>
      </c>
    </row>
    <row r="113" spans="1:7" x14ac:dyDescent="0.3">
      <c r="A113" t="s">
        <v>259</v>
      </c>
      <c r="B113" s="1">
        <v>43157</v>
      </c>
      <c r="C113" t="s">
        <v>688</v>
      </c>
      <c r="D113" t="s">
        <v>587</v>
      </c>
      <c r="E113" t="s">
        <v>588</v>
      </c>
      <c r="F113">
        <v>2018</v>
      </c>
      <c r="G113" t="s">
        <v>544</v>
      </c>
    </row>
    <row r="114" spans="1:7" x14ac:dyDescent="0.3">
      <c r="A114" t="s">
        <v>362</v>
      </c>
      <c r="B114" s="1">
        <v>43247</v>
      </c>
      <c r="C114" t="s">
        <v>689</v>
      </c>
      <c r="D114" t="s">
        <v>596</v>
      </c>
      <c r="E114" t="s">
        <v>597</v>
      </c>
      <c r="F114">
        <v>2018</v>
      </c>
      <c r="G114" t="s">
        <v>624</v>
      </c>
    </row>
    <row r="115" spans="1:7" x14ac:dyDescent="0.3">
      <c r="A115" t="s">
        <v>261</v>
      </c>
      <c r="B115" s="1">
        <v>43190</v>
      </c>
      <c r="C115" t="s">
        <v>690</v>
      </c>
      <c r="D115" t="s">
        <v>552</v>
      </c>
      <c r="E115" t="s">
        <v>553</v>
      </c>
      <c r="F115">
        <v>2018</v>
      </c>
      <c r="G115" t="s">
        <v>541</v>
      </c>
    </row>
    <row r="116" spans="1:7" x14ac:dyDescent="0.3">
      <c r="A116" t="s">
        <v>74</v>
      </c>
      <c r="B116" s="1">
        <v>43227</v>
      </c>
      <c r="C116" t="s">
        <v>671</v>
      </c>
      <c r="D116" t="s">
        <v>552</v>
      </c>
      <c r="E116" t="s">
        <v>553</v>
      </c>
      <c r="F116">
        <v>2018</v>
      </c>
      <c r="G116" t="s">
        <v>624</v>
      </c>
    </row>
    <row r="117" spans="1:7" x14ac:dyDescent="0.3">
      <c r="A117" t="s">
        <v>510</v>
      </c>
      <c r="B117" s="1">
        <v>43121</v>
      </c>
      <c r="C117" t="s">
        <v>691</v>
      </c>
      <c r="D117" t="s">
        <v>587</v>
      </c>
      <c r="E117" t="s">
        <v>652</v>
      </c>
      <c r="F117">
        <v>2018</v>
      </c>
      <c r="G117" t="s">
        <v>546</v>
      </c>
    </row>
    <row r="118" spans="1:7" x14ac:dyDescent="0.3">
      <c r="A118" t="s">
        <v>531</v>
      </c>
      <c r="B118" s="1">
        <v>43146</v>
      </c>
      <c r="C118" t="s">
        <v>692</v>
      </c>
      <c r="D118" t="s">
        <v>539</v>
      </c>
      <c r="E118" t="s">
        <v>620</v>
      </c>
      <c r="F118">
        <v>2018</v>
      </c>
      <c r="G118" t="s">
        <v>544</v>
      </c>
    </row>
    <row r="119" spans="1:7" x14ac:dyDescent="0.3">
      <c r="A119" t="s">
        <v>15</v>
      </c>
      <c r="B119" s="1">
        <v>43240</v>
      </c>
      <c r="C119" t="s">
        <v>693</v>
      </c>
      <c r="D119" t="s">
        <v>578</v>
      </c>
      <c r="E119" t="s">
        <v>579</v>
      </c>
      <c r="F119">
        <v>2018</v>
      </c>
      <c r="G119" t="s">
        <v>624</v>
      </c>
    </row>
    <row r="120" spans="1:7" x14ac:dyDescent="0.3">
      <c r="A120" t="s">
        <v>133</v>
      </c>
      <c r="B120" s="1">
        <v>43153</v>
      </c>
      <c r="C120" t="s">
        <v>694</v>
      </c>
      <c r="D120" t="s">
        <v>632</v>
      </c>
      <c r="E120" t="s">
        <v>633</v>
      </c>
      <c r="F120">
        <v>2018</v>
      </c>
      <c r="G120" t="s">
        <v>544</v>
      </c>
    </row>
    <row r="121" spans="1:7" x14ac:dyDescent="0.3">
      <c r="A121" t="s">
        <v>81</v>
      </c>
      <c r="B121" s="1">
        <v>43167</v>
      </c>
      <c r="C121" t="s">
        <v>695</v>
      </c>
      <c r="D121" t="s">
        <v>610</v>
      </c>
      <c r="E121" t="s">
        <v>611</v>
      </c>
      <c r="F121">
        <v>2018</v>
      </c>
      <c r="G121" t="s">
        <v>541</v>
      </c>
    </row>
    <row r="122" spans="1:7" x14ac:dyDescent="0.3">
      <c r="A122" t="s">
        <v>35</v>
      </c>
      <c r="B122" s="1">
        <v>43136</v>
      </c>
      <c r="C122" t="s">
        <v>696</v>
      </c>
      <c r="D122" t="s">
        <v>543</v>
      </c>
      <c r="E122" t="s">
        <v>543</v>
      </c>
      <c r="F122">
        <v>2018</v>
      </c>
      <c r="G122" t="s">
        <v>544</v>
      </c>
    </row>
    <row r="123" spans="1:7" x14ac:dyDescent="0.3">
      <c r="A123" t="s">
        <v>177</v>
      </c>
      <c r="B123" s="1">
        <v>43357</v>
      </c>
      <c r="C123" t="s">
        <v>697</v>
      </c>
      <c r="D123" t="s">
        <v>569</v>
      </c>
      <c r="E123" t="s">
        <v>576</v>
      </c>
      <c r="F123">
        <v>2018</v>
      </c>
      <c r="G123" t="s">
        <v>583</v>
      </c>
    </row>
    <row r="124" spans="1:7" x14ac:dyDescent="0.3">
      <c r="A124" t="s">
        <v>149</v>
      </c>
      <c r="B124" s="1">
        <v>43340</v>
      </c>
      <c r="C124" t="s">
        <v>698</v>
      </c>
      <c r="D124" t="s">
        <v>548</v>
      </c>
      <c r="E124" t="s">
        <v>558</v>
      </c>
      <c r="F124">
        <v>2018</v>
      </c>
      <c r="G124" t="s">
        <v>554</v>
      </c>
    </row>
    <row r="125" spans="1:7" x14ac:dyDescent="0.3">
      <c r="A125" t="s">
        <v>141</v>
      </c>
      <c r="B125" s="1">
        <v>43378</v>
      </c>
      <c r="C125" t="s">
        <v>699</v>
      </c>
      <c r="D125" t="s">
        <v>552</v>
      </c>
      <c r="E125" t="s">
        <v>553</v>
      </c>
      <c r="F125">
        <v>2018</v>
      </c>
      <c r="G125" t="s">
        <v>563</v>
      </c>
    </row>
    <row r="126" spans="1:7" x14ac:dyDescent="0.3">
      <c r="A126" t="s">
        <v>263</v>
      </c>
      <c r="B126" s="1">
        <v>43111</v>
      </c>
      <c r="C126" t="s">
        <v>700</v>
      </c>
      <c r="D126" t="s">
        <v>552</v>
      </c>
      <c r="E126" t="s">
        <v>553</v>
      </c>
      <c r="F126">
        <v>2018</v>
      </c>
      <c r="G126" t="s">
        <v>546</v>
      </c>
    </row>
    <row r="127" spans="1:7" x14ac:dyDescent="0.3">
      <c r="A127" t="s">
        <v>229</v>
      </c>
      <c r="B127" s="1">
        <v>43185</v>
      </c>
      <c r="C127" t="s">
        <v>662</v>
      </c>
      <c r="D127" t="s">
        <v>605</v>
      </c>
      <c r="E127" t="s">
        <v>588</v>
      </c>
      <c r="F127">
        <v>2018</v>
      </c>
      <c r="G127" t="s">
        <v>541</v>
      </c>
    </row>
    <row r="128" spans="1:7" x14ac:dyDescent="0.3">
      <c r="A128" t="s">
        <v>323</v>
      </c>
      <c r="B128" s="1">
        <v>43407</v>
      </c>
      <c r="C128" t="s">
        <v>701</v>
      </c>
      <c r="D128" t="s">
        <v>592</v>
      </c>
      <c r="E128" t="s">
        <v>593</v>
      </c>
      <c r="F128">
        <v>2018</v>
      </c>
      <c r="G128" t="s">
        <v>567</v>
      </c>
    </row>
    <row r="129" spans="1:7" x14ac:dyDescent="0.3">
      <c r="A129" t="s">
        <v>475</v>
      </c>
      <c r="B129" s="1">
        <v>43386</v>
      </c>
      <c r="C129" t="s">
        <v>702</v>
      </c>
      <c r="D129" t="s">
        <v>548</v>
      </c>
      <c r="E129" t="s">
        <v>549</v>
      </c>
      <c r="F129">
        <v>2018</v>
      </c>
      <c r="G129" t="s">
        <v>563</v>
      </c>
    </row>
    <row r="130" spans="1:7" x14ac:dyDescent="0.3">
      <c r="A130" t="s">
        <v>121</v>
      </c>
      <c r="B130" s="1">
        <v>43113</v>
      </c>
      <c r="C130" t="s">
        <v>703</v>
      </c>
      <c r="D130" t="s">
        <v>632</v>
      </c>
      <c r="E130" t="s">
        <v>633</v>
      </c>
      <c r="F130">
        <v>2018</v>
      </c>
      <c r="G130" t="s">
        <v>546</v>
      </c>
    </row>
    <row r="131" spans="1:7" x14ac:dyDescent="0.3">
      <c r="A131" t="s">
        <v>313</v>
      </c>
      <c r="B131" s="1">
        <v>43122</v>
      </c>
      <c r="C131" t="s">
        <v>704</v>
      </c>
      <c r="D131" t="s">
        <v>548</v>
      </c>
      <c r="E131" t="s">
        <v>549</v>
      </c>
      <c r="F131">
        <v>2018</v>
      </c>
      <c r="G131" t="s">
        <v>546</v>
      </c>
    </row>
    <row r="132" spans="1:7" x14ac:dyDescent="0.3">
      <c r="A132" t="s">
        <v>399</v>
      </c>
      <c r="B132" s="1">
        <v>43428</v>
      </c>
      <c r="C132" t="s">
        <v>705</v>
      </c>
      <c r="D132" t="s">
        <v>548</v>
      </c>
      <c r="E132" t="s">
        <v>549</v>
      </c>
      <c r="F132">
        <v>2018</v>
      </c>
      <c r="G132" t="s">
        <v>567</v>
      </c>
    </row>
    <row r="133" spans="1:7" x14ac:dyDescent="0.3">
      <c r="A133" t="s">
        <v>174</v>
      </c>
      <c r="B133" s="1">
        <v>43169</v>
      </c>
      <c r="C133" t="s">
        <v>706</v>
      </c>
      <c r="D133" t="s">
        <v>592</v>
      </c>
      <c r="E133" t="s">
        <v>593</v>
      </c>
      <c r="F133">
        <v>2018</v>
      </c>
      <c r="G133" t="s">
        <v>541</v>
      </c>
    </row>
    <row r="134" spans="1:7" x14ac:dyDescent="0.3">
      <c r="A134" t="s">
        <v>291</v>
      </c>
      <c r="B134" s="1">
        <v>43432</v>
      </c>
      <c r="C134" t="s">
        <v>707</v>
      </c>
      <c r="D134" t="s">
        <v>552</v>
      </c>
      <c r="E134" t="s">
        <v>553</v>
      </c>
      <c r="F134">
        <v>2018</v>
      </c>
      <c r="G134" t="s">
        <v>567</v>
      </c>
    </row>
    <row r="135" spans="1:7" x14ac:dyDescent="0.3">
      <c r="A135" t="s">
        <v>368</v>
      </c>
      <c r="B135" s="1">
        <v>43440</v>
      </c>
      <c r="C135" t="s">
        <v>574</v>
      </c>
      <c r="D135" t="s">
        <v>552</v>
      </c>
      <c r="E135" t="s">
        <v>553</v>
      </c>
      <c r="F135">
        <v>2018</v>
      </c>
      <c r="G135" t="s">
        <v>550</v>
      </c>
    </row>
    <row r="136" spans="1:7" x14ac:dyDescent="0.3">
      <c r="A136" t="s">
        <v>170</v>
      </c>
      <c r="B136" s="1">
        <v>43332</v>
      </c>
      <c r="C136" t="s">
        <v>604</v>
      </c>
      <c r="D136" t="s">
        <v>548</v>
      </c>
      <c r="E136" t="s">
        <v>549</v>
      </c>
      <c r="F136">
        <v>2018</v>
      </c>
      <c r="G136" t="s">
        <v>554</v>
      </c>
    </row>
    <row r="137" spans="1:7" x14ac:dyDescent="0.3">
      <c r="A137" t="s">
        <v>321</v>
      </c>
      <c r="B137" s="1">
        <v>43418</v>
      </c>
      <c r="C137" t="s">
        <v>708</v>
      </c>
      <c r="D137" t="s">
        <v>552</v>
      </c>
      <c r="E137" t="s">
        <v>553</v>
      </c>
      <c r="F137">
        <v>2018</v>
      </c>
      <c r="G137" t="s">
        <v>567</v>
      </c>
    </row>
    <row r="138" spans="1:7" x14ac:dyDescent="0.3">
      <c r="A138" t="s">
        <v>344</v>
      </c>
      <c r="B138" s="1">
        <v>43267</v>
      </c>
      <c r="C138" t="s">
        <v>709</v>
      </c>
      <c r="D138" t="s">
        <v>548</v>
      </c>
      <c r="E138" t="s">
        <v>549</v>
      </c>
      <c r="F138">
        <v>2018</v>
      </c>
      <c r="G138" t="s">
        <v>585</v>
      </c>
    </row>
    <row r="139" spans="1:7" x14ac:dyDescent="0.3">
      <c r="A139" t="s">
        <v>160</v>
      </c>
      <c r="B139" s="1">
        <v>43216</v>
      </c>
      <c r="C139" t="s">
        <v>710</v>
      </c>
      <c r="D139" t="s">
        <v>711</v>
      </c>
      <c r="E139" t="s">
        <v>712</v>
      </c>
      <c r="F139">
        <v>2018</v>
      </c>
      <c r="G139" t="s">
        <v>565</v>
      </c>
    </row>
    <row r="140" spans="1:7" x14ac:dyDescent="0.3">
      <c r="A140" t="s">
        <v>196</v>
      </c>
      <c r="B140" s="1">
        <v>43282</v>
      </c>
      <c r="C140" t="s">
        <v>713</v>
      </c>
      <c r="D140" t="s">
        <v>552</v>
      </c>
      <c r="E140" t="s">
        <v>553</v>
      </c>
      <c r="F140">
        <v>2018</v>
      </c>
      <c r="G140" t="s">
        <v>614</v>
      </c>
    </row>
    <row r="141" spans="1:7" x14ac:dyDescent="0.3">
      <c r="A141" t="s">
        <v>494</v>
      </c>
      <c r="B141" s="1">
        <v>43400</v>
      </c>
      <c r="C141" t="s">
        <v>655</v>
      </c>
      <c r="D141" t="s">
        <v>711</v>
      </c>
      <c r="E141" t="s">
        <v>712</v>
      </c>
      <c r="F141">
        <v>2018</v>
      </c>
      <c r="G141" t="s">
        <v>563</v>
      </c>
    </row>
    <row r="142" spans="1:7" x14ac:dyDescent="0.3">
      <c r="A142" t="s">
        <v>111</v>
      </c>
      <c r="B142" s="1">
        <v>43414</v>
      </c>
      <c r="C142" t="s">
        <v>635</v>
      </c>
      <c r="D142" t="s">
        <v>548</v>
      </c>
      <c r="E142" t="s">
        <v>549</v>
      </c>
      <c r="F142">
        <v>2018</v>
      </c>
      <c r="G142" t="s">
        <v>567</v>
      </c>
    </row>
    <row r="143" spans="1:7" x14ac:dyDescent="0.3">
      <c r="A143" t="s">
        <v>375</v>
      </c>
      <c r="B143" s="1">
        <v>43438</v>
      </c>
      <c r="C143" t="s">
        <v>564</v>
      </c>
      <c r="D143" t="s">
        <v>539</v>
      </c>
      <c r="E143" t="s">
        <v>540</v>
      </c>
      <c r="F143">
        <v>2018</v>
      </c>
      <c r="G143" t="s">
        <v>550</v>
      </c>
    </row>
    <row r="144" spans="1:7" x14ac:dyDescent="0.3">
      <c r="A144" t="s">
        <v>232</v>
      </c>
      <c r="B144" s="1">
        <v>43118</v>
      </c>
      <c r="C144" t="s">
        <v>714</v>
      </c>
      <c r="D144" t="s">
        <v>552</v>
      </c>
      <c r="E144" t="s">
        <v>553</v>
      </c>
      <c r="F144">
        <v>2018</v>
      </c>
      <c r="G144" t="s">
        <v>546</v>
      </c>
    </row>
    <row r="145" spans="1:7" x14ac:dyDescent="0.3">
      <c r="A145" t="s">
        <v>412</v>
      </c>
      <c r="B145" s="1">
        <v>43137</v>
      </c>
      <c r="C145" t="s">
        <v>715</v>
      </c>
      <c r="D145" t="s">
        <v>543</v>
      </c>
      <c r="E145" t="s">
        <v>543</v>
      </c>
      <c r="F145">
        <v>2018</v>
      </c>
      <c r="G145" t="s">
        <v>544</v>
      </c>
    </row>
    <row r="146" spans="1:7" x14ac:dyDescent="0.3">
      <c r="A146" t="s">
        <v>103</v>
      </c>
      <c r="B146" s="1">
        <v>43187</v>
      </c>
      <c r="C146" t="s">
        <v>716</v>
      </c>
      <c r="D146" t="s">
        <v>610</v>
      </c>
      <c r="E146" t="s">
        <v>611</v>
      </c>
      <c r="F146">
        <v>2018</v>
      </c>
      <c r="G146" t="s">
        <v>541</v>
      </c>
    </row>
    <row r="147" spans="1:7" x14ac:dyDescent="0.3">
      <c r="A147" t="s">
        <v>355</v>
      </c>
      <c r="B147" s="1">
        <v>43321</v>
      </c>
      <c r="C147" t="s">
        <v>679</v>
      </c>
      <c r="D147" t="s">
        <v>569</v>
      </c>
      <c r="E147" t="s">
        <v>576</v>
      </c>
      <c r="F147">
        <v>2018</v>
      </c>
      <c r="G147" t="s">
        <v>554</v>
      </c>
    </row>
    <row r="148" spans="1:7" x14ac:dyDescent="0.3">
      <c r="A148" t="s">
        <v>320</v>
      </c>
      <c r="B148" s="1">
        <v>43125</v>
      </c>
      <c r="C148" t="s">
        <v>717</v>
      </c>
      <c r="D148" t="s">
        <v>607</v>
      </c>
      <c r="E148" t="s">
        <v>608</v>
      </c>
      <c r="F148">
        <v>2018</v>
      </c>
      <c r="G148" t="s">
        <v>546</v>
      </c>
    </row>
    <row r="149" spans="1:7" x14ac:dyDescent="0.3">
      <c r="A149" t="s">
        <v>85</v>
      </c>
      <c r="B149" s="1">
        <v>43245</v>
      </c>
      <c r="C149" t="s">
        <v>718</v>
      </c>
      <c r="D149" t="s">
        <v>661</v>
      </c>
      <c r="E149" t="s">
        <v>661</v>
      </c>
      <c r="F149">
        <v>2018</v>
      </c>
      <c r="G149" t="s">
        <v>624</v>
      </c>
    </row>
    <row r="150" spans="1:7" x14ac:dyDescent="0.3">
      <c r="A150" t="s">
        <v>249</v>
      </c>
      <c r="B150" s="1">
        <v>43407</v>
      </c>
      <c r="C150" t="s">
        <v>574</v>
      </c>
      <c r="D150" t="s">
        <v>581</v>
      </c>
      <c r="E150" t="s">
        <v>582</v>
      </c>
      <c r="F150">
        <v>2018</v>
      </c>
      <c r="G150" t="s">
        <v>567</v>
      </c>
    </row>
    <row r="151" spans="1:7" x14ac:dyDescent="0.3">
      <c r="A151" t="s">
        <v>326</v>
      </c>
      <c r="B151" s="1">
        <v>43436</v>
      </c>
      <c r="C151" t="s">
        <v>574</v>
      </c>
      <c r="D151" t="s">
        <v>587</v>
      </c>
      <c r="E151" t="s">
        <v>652</v>
      </c>
      <c r="F151">
        <v>2018</v>
      </c>
      <c r="G151" t="s">
        <v>550</v>
      </c>
    </row>
    <row r="152" spans="1:7" x14ac:dyDescent="0.3">
      <c r="A152" t="s">
        <v>182</v>
      </c>
      <c r="B152" s="1">
        <v>43108</v>
      </c>
      <c r="C152" t="s">
        <v>719</v>
      </c>
      <c r="D152" t="s">
        <v>561</v>
      </c>
      <c r="E152" t="s">
        <v>562</v>
      </c>
      <c r="F152">
        <v>2018</v>
      </c>
      <c r="G152" t="s">
        <v>546</v>
      </c>
    </row>
    <row r="153" spans="1:7" x14ac:dyDescent="0.3">
      <c r="A153" t="s">
        <v>319</v>
      </c>
      <c r="B153" s="1">
        <v>43407</v>
      </c>
      <c r="C153" t="s">
        <v>720</v>
      </c>
      <c r="D153" t="s">
        <v>605</v>
      </c>
      <c r="E153" t="s">
        <v>588</v>
      </c>
      <c r="F153">
        <v>2018</v>
      </c>
      <c r="G153" t="s">
        <v>567</v>
      </c>
    </row>
    <row r="154" spans="1:7" x14ac:dyDescent="0.3">
      <c r="A154" t="s">
        <v>476</v>
      </c>
      <c r="B154" s="1">
        <v>43216</v>
      </c>
      <c r="C154" t="s">
        <v>721</v>
      </c>
      <c r="D154" t="s">
        <v>548</v>
      </c>
      <c r="E154" t="s">
        <v>549</v>
      </c>
      <c r="F154">
        <v>2018</v>
      </c>
      <c r="G154" t="s">
        <v>565</v>
      </c>
    </row>
    <row r="155" spans="1:7" x14ac:dyDescent="0.3">
      <c r="A155" t="s">
        <v>322</v>
      </c>
      <c r="B155" s="1">
        <v>43395</v>
      </c>
      <c r="C155" t="s">
        <v>722</v>
      </c>
      <c r="D155" t="s">
        <v>548</v>
      </c>
      <c r="E155" t="s">
        <v>549</v>
      </c>
      <c r="F155">
        <v>2018</v>
      </c>
      <c r="G155" t="s">
        <v>563</v>
      </c>
    </row>
    <row r="156" spans="1:7" x14ac:dyDescent="0.3">
      <c r="A156" t="s">
        <v>333</v>
      </c>
      <c r="B156" s="1">
        <v>43181</v>
      </c>
      <c r="C156" t="s">
        <v>625</v>
      </c>
      <c r="D156" t="s">
        <v>626</v>
      </c>
      <c r="E156" t="s">
        <v>627</v>
      </c>
      <c r="F156">
        <v>2018</v>
      </c>
      <c r="G156" t="s">
        <v>541</v>
      </c>
    </row>
    <row r="157" spans="1:7" x14ac:dyDescent="0.3">
      <c r="A157" t="s">
        <v>294</v>
      </c>
      <c r="B157" s="1">
        <v>43213</v>
      </c>
      <c r="C157" t="s">
        <v>723</v>
      </c>
      <c r="D157" t="s">
        <v>641</v>
      </c>
      <c r="E157" t="s">
        <v>642</v>
      </c>
      <c r="F157">
        <v>2018</v>
      </c>
      <c r="G157" t="s">
        <v>565</v>
      </c>
    </row>
    <row r="158" spans="1:7" x14ac:dyDescent="0.3">
      <c r="A158" t="s">
        <v>60</v>
      </c>
      <c r="B158" s="1">
        <v>43378</v>
      </c>
      <c r="C158" t="s">
        <v>724</v>
      </c>
      <c r="D158" t="s">
        <v>548</v>
      </c>
      <c r="E158" t="s">
        <v>549</v>
      </c>
      <c r="F158">
        <v>2018</v>
      </c>
      <c r="G158" t="s">
        <v>563</v>
      </c>
    </row>
    <row r="159" spans="1:7" x14ac:dyDescent="0.3">
      <c r="A159" t="s">
        <v>12</v>
      </c>
      <c r="B159" s="1">
        <v>43269</v>
      </c>
      <c r="C159" t="s">
        <v>725</v>
      </c>
      <c r="D159" t="s">
        <v>552</v>
      </c>
      <c r="E159" t="s">
        <v>590</v>
      </c>
      <c r="F159">
        <v>2018</v>
      </c>
      <c r="G159" t="s">
        <v>585</v>
      </c>
    </row>
    <row r="160" spans="1:7" x14ac:dyDescent="0.3">
      <c r="A160" t="s">
        <v>53</v>
      </c>
      <c r="B160" s="1">
        <v>43367</v>
      </c>
      <c r="C160" t="s">
        <v>726</v>
      </c>
      <c r="D160" t="s">
        <v>548</v>
      </c>
      <c r="E160" t="s">
        <v>549</v>
      </c>
      <c r="F160">
        <v>2018</v>
      </c>
      <c r="G160" t="s">
        <v>583</v>
      </c>
    </row>
    <row r="161" spans="1:7" x14ac:dyDescent="0.3">
      <c r="A161" t="s">
        <v>421</v>
      </c>
      <c r="B161" s="1">
        <v>43379</v>
      </c>
      <c r="C161" t="s">
        <v>727</v>
      </c>
      <c r="D161" t="s">
        <v>552</v>
      </c>
      <c r="E161" t="s">
        <v>553</v>
      </c>
      <c r="F161">
        <v>2018</v>
      </c>
      <c r="G161" t="s">
        <v>563</v>
      </c>
    </row>
    <row r="162" spans="1:7" x14ac:dyDescent="0.3">
      <c r="A162" t="s">
        <v>45</v>
      </c>
      <c r="B162" s="1">
        <v>43286</v>
      </c>
      <c r="C162" t="s">
        <v>728</v>
      </c>
      <c r="D162" t="s">
        <v>548</v>
      </c>
      <c r="E162" t="s">
        <v>558</v>
      </c>
      <c r="F162">
        <v>2018</v>
      </c>
      <c r="G162" t="s">
        <v>614</v>
      </c>
    </row>
    <row r="163" spans="1:7" x14ac:dyDescent="0.3">
      <c r="A163" t="s">
        <v>161</v>
      </c>
      <c r="B163" s="1">
        <v>43245</v>
      </c>
      <c r="C163" t="s">
        <v>729</v>
      </c>
      <c r="D163" t="s">
        <v>711</v>
      </c>
      <c r="E163" t="s">
        <v>712</v>
      </c>
      <c r="F163">
        <v>2018</v>
      </c>
      <c r="G163" t="s">
        <v>624</v>
      </c>
    </row>
    <row r="164" spans="1:7" x14ac:dyDescent="0.3">
      <c r="A164" t="s">
        <v>307</v>
      </c>
      <c r="B164" s="1">
        <v>43414</v>
      </c>
      <c r="C164" t="s">
        <v>730</v>
      </c>
      <c r="D164" t="s">
        <v>552</v>
      </c>
      <c r="E164" t="s">
        <v>553</v>
      </c>
      <c r="F164">
        <v>2018</v>
      </c>
      <c r="G164" t="s">
        <v>567</v>
      </c>
    </row>
    <row r="165" spans="1:7" x14ac:dyDescent="0.3">
      <c r="A165" t="s">
        <v>215</v>
      </c>
      <c r="B165" s="1">
        <v>43358</v>
      </c>
      <c r="C165" t="s">
        <v>665</v>
      </c>
      <c r="D165" t="s">
        <v>632</v>
      </c>
      <c r="E165" t="s">
        <v>633</v>
      </c>
      <c r="F165">
        <v>2018</v>
      </c>
      <c r="G165" t="s">
        <v>583</v>
      </c>
    </row>
    <row r="166" spans="1:7" x14ac:dyDescent="0.3">
      <c r="A166" t="s">
        <v>277</v>
      </c>
      <c r="B166" s="1">
        <v>43103</v>
      </c>
      <c r="C166" t="s">
        <v>731</v>
      </c>
      <c r="D166" t="s">
        <v>587</v>
      </c>
      <c r="E166" t="s">
        <v>588</v>
      </c>
      <c r="F166">
        <v>2018</v>
      </c>
      <c r="G166" t="s">
        <v>546</v>
      </c>
    </row>
    <row r="167" spans="1:7" x14ac:dyDescent="0.3">
      <c r="A167" t="s">
        <v>84</v>
      </c>
      <c r="B167" s="1">
        <v>43168</v>
      </c>
      <c r="C167" t="s">
        <v>667</v>
      </c>
      <c r="D167" t="s">
        <v>641</v>
      </c>
      <c r="E167" t="s">
        <v>642</v>
      </c>
      <c r="F167">
        <v>2018</v>
      </c>
      <c r="G167" t="s">
        <v>541</v>
      </c>
    </row>
    <row r="168" spans="1:7" x14ac:dyDescent="0.3">
      <c r="A168" t="s">
        <v>132</v>
      </c>
      <c r="B168" s="1">
        <v>43177</v>
      </c>
      <c r="C168" t="s">
        <v>603</v>
      </c>
      <c r="D168" t="s">
        <v>610</v>
      </c>
      <c r="E168" t="s">
        <v>611</v>
      </c>
      <c r="F168">
        <v>2018</v>
      </c>
      <c r="G168" t="s">
        <v>541</v>
      </c>
    </row>
    <row r="169" spans="1:7" x14ac:dyDescent="0.3">
      <c r="A169" t="s">
        <v>162</v>
      </c>
      <c r="B169" s="1">
        <v>43367</v>
      </c>
      <c r="C169" t="s">
        <v>732</v>
      </c>
      <c r="D169" t="s">
        <v>592</v>
      </c>
      <c r="E169" t="s">
        <v>593</v>
      </c>
      <c r="F169">
        <v>2018</v>
      </c>
      <c r="G169" t="s">
        <v>583</v>
      </c>
    </row>
    <row r="170" spans="1:7" x14ac:dyDescent="0.3">
      <c r="A170" t="s">
        <v>38</v>
      </c>
      <c r="B170" s="1">
        <v>43130</v>
      </c>
      <c r="C170" t="s">
        <v>733</v>
      </c>
      <c r="D170" t="s">
        <v>543</v>
      </c>
      <c r="E170" t="s">
        <v>543</v>
      </c>
      <c r="F170">
        <v>2018</v>
      </c>
      <c r="G170" t="s">
        <v>546</v>
      </c>
    </row>
    <row r="171" spans="1:7" x14ac:dyDescent="0.3">
      <c r="A171" t="s">
        <v>219</v>
      </c>
      <c r="B171" s="1">
        <v>43127</v>
      </c>
      <c r="C171" t="s">
        <v>734</v>
      </c>
      <c r="D171" t="s">
        <v>552</v>
      </c>
      <c r="E171" t="s">
        <v>553</v>
      </c>
      <c r="F171">
        <v>2018</v>
      </c>
      <c r="G171" t="s">
        <v>546</v>
      </c>
    </row>
    <row r="172" spans="1:7" x14ac:dyDescent="0.3">
      <c r="A172" t="s">
        <v>148</v>
      </c>
      <c r="B172" s="1">
        <v>43169</v>
      </c>
      <c r="C172" t="s">
        <v>735</v>
      </c>
      <c r="D172" t="s">
        <v>548</v>
      </c>
      <c r="E172" t="s">
        <v>549</v>
      </c>
      <c r="F172">
        <v>2018</v>
      </c>
      <c r="G172" t="s">
        <v>541</v>
      </c>
    </row>
    <row r="173" spans="1:7" x14ac:dyDescent="0.3">
      <c r="A173" t="s">
        <v>153</v>
      </c>
      <c r="B173" s="1">
        <v>43181</v>
      </c>
      <c r="C173" t="s">
        <v>736</v>
      </c>
      <c r="D173" t="s">
        <v>632</v>
      </c>
      <c r="E173" t="s">
        <v>633</v>
      </c>
      <c r="F173">
        <v>2018</v>
      </c>
      <c r="G173" t="s">
        <v>541</v>
      </c>
    </row>
    <row r="174" spans="1:7" x14ac:dyDescent="0.3">
      <c r="A174" t="s">
        <v>350</v>
      </c>
      <c r="B174" s="1">
        <v>43363</v>
      </c>
      <c r="C174" t="s">
        <v>737</v>
      </c>
      <c r="D174" t="s">
        <v>641</v>
      </c>
      <c r="E174" t="s">
        <v>642</v>
      </c>
      <c r="F174">
        <v>2018</v>
      </c>
      <c r="G174" t="s">
        <v>583</v>
      </c>
    </row>
    <row r="175" spans="1:7" x14ac:dyDescent="0.3">
      <c r="A175" t="s">
        <v>529</v>
      </c>
      <c r="B175" s="1">
        <v>43258</v>
      </c>
      <c r="C175" t="s">
        <v>653</v>
      </c>
      <c r="D175" t="s">
        <v>578</v>
      </c>
      <c r="E175" t="s">
        <v>579</v>
      </c>
      <c r="F175">
        <v>2018</v>
      </c>
      <c r="G175" t="s">
        <v>585</v>
      </c>
    </row>
    <row r="176" spans="1:7" x14ac:dyDescent="0.3">
      <c r="A176" t="s">
        <v>138</v>
      </c>
      <c r="B176" s="1">
        <v>43119</v>
      </c>
      <c r="C176" t="s">
        <v>738</v>
      </c>
      <c r="D176" t="s">
        <v>548</v>
      </c>
      <c r="E176" t="s">
        <v>558</v>
      </c>
      <c r="F176">
        <v>2018</v>
      </c>
      <c r="G176" t="s">
        <v>546</v>
      </c>
    </row>
    <row r="177" spans="1:7" x14ac:dyDescent="0.3">
      <c r="A177" t="s">
        <v>24</v>
      </c>
      <c r="B177" s="1">
        <v>43326</v>
      </c>
      <c r="C177" t="s">
        <v>739</v>
      </c>
      <c r="D177" t="s">
        <v>552</v>
      </c>
      <c r="E177" t="s">
        <v>553</v>
      </c>
      <c r="F177">
        <v>2018</v>
      </c>
      <c r="G177" t="s">
        <v>554</v>
      </c>
    </row>
    <row r="178" spans="1:7" x14ac:dyDescent="0.3">
      <c r="A178" t="s">
        <v>86</v>
      </c>
      <c r="B178" s="1">
        <v>43397</v>
      </c>
      <c r="C178" t="s">
        <v>740</v>
      </c>
      <c r="D178" t="s">
        <v>587</v>
      </c>
      <c r="E178" t="s">
        <v>588</v>
      </c>
      <c r="F178">
        <v>2018</v>
      </c>
      <c r="G178" t="s">
        <v>563</v>
      </c>
    </row>
    <row r="179" spans="1:7" x14ac:dyDescent="0.3">
      <c r="A179" t="s">
        <v>361</v>
      </c>
      <c r="B179" s="1">
        <v>43212</v>
      </c>
      <c r="C179" t="s">
        <v>741</v>
      </c>
      <c r="D179" t="s">
        <v>607</v>
      </c>
      <c r="E179" t="s">
        <v>649</v>
      </c>
      <c r="F179">
        <v>2018</v>
      </c>
      <c r="G179" t="s">
        <v>565</v>
      </c>
    </row>
    <row r="180" spans="1:7" x14ac:dyDescent="0.3">
      <c r="A180" t="s">
        <v>43</v>
      </c>
      <c r="B180" s="1">
        <v>43326</v>
      </c>
      <c r="C180" t="s">
        <v>742</v>
      </c>
      <c r="D180" t="s">
        <v>548</v>
      </c>
      <c r="E180" t="s">
        <v>549</v>
      </c>
      <c r="F180">
        <v>2018</v>
      </c>
      <c r="G180" t="s">
        <v>554</v>
      </c>
    </row>
    <row r="181" spans="1:7" x14ac:dyDescent="0.3">
      <c r="A181" t="s">
        <v>246</v>
      </c>
      <c r="B181" s="1">
        <v>43261</v>
      </c>
      <c r="C181" t="s">
        <v>616</v>
      </c>
      <c r="D181" t="s">
        <v>552</v>
      </c>
      <c r="E181" t="s">
        <v>553</v>
      </c>
      <c r="F181">
        <v>2018</v>
      </c>
      <c r="G181" t="s">
        <v>585</v>
      </c>
    </row>
    <row r="182" spans="1:7" x14ac:dyDescent="0.3">
      <c r="A182" t="s">
        <v>236</v>
      </c>
      <c r="B182" s="1">
        <v>43142</v>
      </c>
      <c r="C182" t="s">
        <v>743</v>
      </c>
      <c r="D182" t="s">
        <v>578</v>
      </c>
      <c r="E182" t="s">
        <v>579</v>
      </c>
      <c r="F182">
        <v>2018</v>
      </c>
      <c r="G182" t="s">
        <v>544</v>
      </c>
    </row>
    <row r="183" spans="1:7" x14ac:dyDescent="0.3">
      <c r="A183" t="s">
        <v>384</v>
      </c>
      <c r="B183" s="1">
        <v>43154</v>
      </c>
      <c r="C183" t="s">
        <v>723</v>
      </c>
      <c r="D183" t="s">
        <v>641</v>
      </c>
      <c r="E183" t="s">
        <v>642</v>
      </c>
      <c r="F183">
        <v>2018</v>
      </c>
      <c r="G183" t="s">
        <v>544</v>
      </c>
    </row>
    <row r="184" spans="1:7" x14ac:dyDescent="0.3">
      <c r="A184" t="s">
        <v>64</v>
      </c>
      <c r="B184" s="1">
        <v>43274</v>
      </c>
      <c r="C184" t="s">
        <v>744</v>
      </c>
      <c r="D184" t="s">
        <v>626</v>
      </c>
      <c r="E184" t="s">
        <v>627</v>
      </c>
      <c r="F184">
        <v>2018</v>
      </c>
      <c r="G184" t="s">
        <v>585</v>
      </c>
    </row>
    <row r="185" spans="1:7" x14ac:dyDescent="0.3">
      <c r="A185" t="s">
        <v>492</v>
      </c>
      <c r="B185" s="1">
        <v>43121</v>
      </c>
      <c r="C185" t="s">
        <v>745</v>
      </c>
      <c r="D185" t="s">
        <v>607</v>
      </c>
      <c r="E185" t="s">
        <v>608</v>
      </c>
      <c r="F185">
        <v>2018</v>
      </c>
      <c r="G185" t="s">
        <v>546</v>
      </c>
    </row>
    <row r="186" spans="1:7" x14ac:dyDescent="0.3">
      <c r="A186" t="s">
        <v>409</v>
      </c>
      <c r="B186" s="1">
        <v>43401</v>
      </c>
      <c r="C186" t="s">
        <v>746</v>
      </c>
      <c r="D186" t="s">
        <v>548</v>
      </c>
      <c r="E186" t="s">
        <v>549</v>
      </c>
      <c r="F186">
        <v>2018</v>
      </c>
      <c r="G186" t="s">
        <v>563</v>
      </c>
    </row>
    <row r="187" spans="1:7" x14ac:dyDescent="0.3">
      <c r="A187" t="s">
        <v>56</v>
      </c>
      <c r="B187" s="1">
        <v>43319</v>
      </c>
      <c r="C187" t="s">
        <v>747</v>
      </c>
      <c r="D187" t="s">
        <v>596</v>
      </c>
      <c r="E187" t="s">
        <v>597</v>
      </c>
      <c r="F187">
        <v>2018</v>
      </c>
      <c r="G187" t="s">
        <v>554</v>
      </c>
    </row>
    <row r="188" spans="1:7" x14ac:dyDescent="0.3">
      <c r="A188" t="s">
        <v>279</v>
      </c>
      <c r="B188" s="1">
        <v>43432</v>
      </c>
      <c r="C188" t="s">
        <v>748</v>
      </c>
      <c r="D188" t="s">
        <v>607</v>
      </c>
      <c r="E188" t="s">
        <v>608</v>
      </c>
      <c r="F188">
        <v>2018</v>
      </c>
      <c r="G188" t="s">
        <v>567</v>
      </c>
    </row>
    <row r="189" spans="1:7" x14ac:dyDescent="0.3">
      <c r="A189" t="s">
        <v>365</v>
      </c>
      <c r="B189" s="1">
        <v>43125</v>
      </c>
      <c r="C189" t="s">
        <v>623</v>
      </c>
      <c r="D189" t="s">
        <v>539</v>
      </c>
      <c r="E189" t="s">
        <v>556</v>
      </c>
      <c r="F189">
        <v>2018</v>
      </c>
      <c r="G189" t="s">
        <v>546</v>
      </c>
    </row>
    <row r="190" spans="1:7" x14ac:dyDescent="0.3">
      <c r="A190" t="s">
        <v>273</v>
      </c>
      <c r="B190" s="1">
        <v>43188</v>
      </c>
      <c r="C190" t="s">
        <v>723</v>
      </c>
      <c r="D190" t="s">
        <v>641</v>
      </c>
      <c r="E190" t="s">
        <v>642</v>
      </c>
      <c r="F190">
        <v>2018</v>
      </c>
      <c r="G190" t="s">
        <v>541</v>
      </c>
    </row>
    <row r="191" spans="1:7" x14ac:dyDescent="0.3">
      <c r="A191" t="s">
        <v>192</v>
      </c>
      <c r="B191" s="1">
        <v>43203</v>
      </c>
      <c r="C191" t="s">
        <v>749</v>
      </c>
      <c r="D191" t="s">
        <v>581</v>
      </c>
      <c r="E191" t="s">
        <v>582</v>
      </c>
      <c r="F191">
        <v>2018</v>
      </c>
      <c r="G191" t="s">
        <v>565</v>
      </c>
    </row>
    <row r="192" spans="1:7" x14ac:dyDescent="0.3">
      <c r="A192" t="s">
        <v>514</v>
      </c>
      <c r="B192" s="1">
        <v>43302</v>
      </c>
      <c r="C192" t="s">
        <v>750</v>
      </c>
      <c r="D192" t="s">
        <v>548</v>
      </c>
      <c r="E192" t="s">
        <v>549</v>
      </c>
      <c r="F192">
        <v>2018</v>
      </c>
      <c r="G192" t="s">
        <v>614</v>
      </c>
    </row>
    <row r="193" spans="1:7" x14ac:dyDescent="0.3">
      <c r="A193" t="s">
        <v>258</v>
      </c>
      <c r="B193" s="1">
        <v>43165</v>
      </c>
      <c r="C193" t="s">
        <v>751</v>
      </c>
      <c r="D193" t="s">
        <v>607</v>
      </c>
      <c r="E193" t="s">
        <v>649</v>
      </c>
      <c r="F193">
        <v>2018</v>
      </c>
      <c r="G193" t="s">
        <v>541</v>
      </c>
    </row>
    <row r="194" spans="1:7" x14ac:dyDescent="0.3">
      <c r="A194" t="s">
        <v>433</v>
      </c>
      <c r="B194" s="1">
        <v>43199</v>
      </c>
      <c r="C194" t="s">
        <v>692</v>
      </c>
      <c r="D194" t="s">
        <v>539</v>
      </c>
      <c r="E194" t="s">
        <v>620</v>
      </c>
      <c r="F194">
        <v>2018</v>
      </c>
      <c r="G194" t="s">
        <v>565</v>
      </c>
    </row>
    <row r="195" spans="1:7" x14ac:dyDescent="0.3">
      <c r="A195" t="s">
        <v>497</v>
      </c>
      <c r="B195" s="1">
        <v>43315</v>
      </c>
      <c r="C195" t="s">
        <v>752</v>
      </c>
      <c r="D195" t="s">
        <v>552</v>
      </c>
      <c r="E195" t="s">
        <v>553</v>
      </c>
      <c r="F195">
        <v>2018</v>
      </c>
      <c r="G195" t="s">
        <v>554</v>
      </c>
    </row>
    <row r="196" spans="1:7" x14ac:dyDescent="0.3">
      <c r="A196" t="s">
        <v>262</v>
      </c>
      <c r="B196" s="1">
        <v>43117</v>
      </c>
      <c r="C196" t="s">
        <v>674</v>
      </c>
      <c r="D196" t="s">
        <v>548</v>
      </c>
      <c r="E196" t="s">
        <v>549</v>
      </c>
      <c r="F196">
        <v>2018</v>
      </c>
      <c r="G196" t="s">
        <v>546</v>
      </c>
    </row>
    <row r="197" spans="1:7" x14ac:dyDescent="0.3">
      <c r="A197" t="s">
        <v>280</v>
      </c>
      <c r="B197" s="1">
        <v>43265</v>
      </c>
      <c r="C197" t="s">
        <v>753</v>
      </c>
      <c r="D197" t="s">
        <v>548</v>
      </c>
      <c r="E197" t="s">
        <v>549</v>
      </c>
      <c r="F197">
        <v>2018</v>
      </c>
      <c r="G197" t="s">
        <v>585</v>
      </c>
    </row>
    <row r="198" spans="1:7" x14ac:dyDescent="0.3">
      <c r="A198" t="s">
        <v>283</v>
      </c>
      <c r="B198" s="1">
        <v>43105</v>
      </c>
      <c r="C198" t="s">
        <v>754</v>
      </c>
      <c r="D198" t="s">
        <v>711</v>
      </c>
      <c r="E198" t="s">
        <v>712</v>
      </c>
      <c r="F198">
        <v>2018</v>
      </c>
      <c r="G198" t="s">
        <v>546</v>
      </c>
    </row>
    <row r="199" spans="1:7" x14ac:dyDescent="0.3">
      <c r="A199" t="s">
        <v>528</v>
      </c>
      <c r="B199" s="1">
        <v>43438</v>
      </c>
      <c r="C199" t="s">
        <v>755</v>
      </c>
      <c r="D199" t="s">
        <v>548</v>
      </c>
      <c r="E199" t="s">
        <v>549</v>
      </c>
      <c r="F199">
        <v>2018</v>
      </c>
      <c r="G199" t="s">
        <v>550</v>
      </c>
    </row>
    <row r="200" spans="1:7" x14ac:dyDescent="0.3">
      <c r="A200" t="s">
        <v>451</v>
      </c>
      <c r="B200" s="1">
        <v>43383</v>
      </c>
      <c r="C200" t="s">
        <v>683</v>
      </c>
      <c r="D200" t="s">
        <v>552</v>
      </c>
      <c r="E200" t="s">
        <v>553</v>
      </c>
      <c r="F200">
        <v>2018</v>
      </c>
      <c r="G200" t="s">
        <v>563</v>
      </c>
    </row>
    <row r="201" spans="1:7" x14ac:dyDescent="0.3">
      <c r="A201" t="s">
        <v>142</v>
      </c>
      <c r="B201" s="1">
        <v>43293</v>
      </c>
      <c r="C201" t="s">
        <v>669</v>
      </c>
      <c r="D201" t="s">
        <v>548</v>
      </c>
      <c r="E201" t="s">
        <v>549</v>
      </c>
      <c r="F201">
        <v>2018</v>
      </c>
      <c r="G201" t="s">
        <v>614</v>
      </c>
    </row>
    <row r="202" spans="1:7" x14ac:dyDescent="0.3">
      <c r="A202" t="s">
        <v>330</v>
      </c>
      <c r="B202" s="1">
        <v>43452</v>
      </c>
      <c r="C202" t="s">
        <v>756</v>
      </c>
      <c r="D202" t="s">
        <v>543</v>
      </c>
      <c r="E202" t="s">
        <v>543</v>
      </c>
      <c r="F202">
        <v>2018</v>
      </c>
      <c r="G202" t="s">
        <v>550</v>
      </c>
    </row>
    <row r="203" spans="1:7" x14ac:dyDescent="0.3">
      <c r="A203" t="s">
        <v>194</v>
      </c>
      <c r="B203" s="1">
        <v>43444</v>
      </c>
      <c r="C203" t="s">
        <v>757</v>
      </c>
      <c r="D203" t="s">
        <v>552</v>
      </c>
      <c r="E203" t="s">
        <v>553</v>
      </c>
      <c r="F203">
        <v>2018</v>
      </c>
      <c r="G203" t="s">
        <v>550</v>
      </c>
    </row>
    <row r="204" spans="1:7" x14ac:dyDescent="0.3">
      <c r="A204" t="s">
        <v>303</v>
      </c>
      <c r="B204" s="1">
        <v>43187</v>
      </c>
      <c r="C204" t="s">
        <v>694</v>
      </c>
      <c r="D204" t="s">
        <v>632</v>
      </c>
      <c r="E204" t="s">
        <v>633</v>
      </c>
      <c r="F204">
        <v>2018</v>
      </c>
      <c r="G204" t="s">
        <v>541</v>
      </c>
    </row>
    <row r="205" spans="1:7" x14ac:dyDescent="0.3">
      <c r="A205" t="s">
        <v>159</v>
      </c>
      <c r="B205" s="1">
        <v>43230</v>
      </c>
      <c r="C205" t="s">
        <v>758</v>
      </c>
      <c r="D205" t="s">
        <v>548</v>
      </c>
      <c r="E205" t="s">
        <v>549</v>
      </c>
      <c r="F205">
        <v>2018</v>
      </c>
      <c r="G205" t="s">
        <v>624</v>
      </c>
    </row>
    <row r="206" spans="1:7" x14ac:dyDescent="0.3">
      <c r="A206" t="s">
        <v>239</v>
      </c>
      <c r="B206" s="1">
        <v>43180</v>
      </c>
      <c r="C206" t="s">
        <v>630</v>
      </c>
      <c r="D206" t="s">
        <v>552</v>
      </c>
      <c r="E206" t="s">
        <v>590</v>
      </c>
      <c r="F206">
        <v>2018</v>
      </c>
      <c r="G206" t="s">
        <v>541</v>
      </c>
    </row>
    <row r="207" spans="1:7" x14ac:dyDescent="0.3">
      <c r="A207" t="s">
        <v>354</v>
      </c>
      <c r="B207" s="1">
        <v>43118</v>
      </c>
      <c r="C207" t="s">
        <v>759</v>
      </c>
      <c r="D207" t="s">
        <v>569</v>
      </c>
      <c r="E207" t="s">
        <v>576</v>
      </c>
      <c r="F207">
        <v>2018</v>
      </c>
      <c r="G207" t="s">
        <v>546</v>
      </c>
    </row>
    <row r="208" spans="1:7" x14ac:dyDescent="0.3">
      <c r="A208" t="s">
        <v>318</v>
      </c>
      <c r="B208" s="1">
        <v>43412</v>
      </c>
      <c r="C208" t="s">
        <v>715</v>
      </c>
      <c r="D208" t="s">
        <v>548</v>
      </c>
      <c r="E208" t="s">
        <v>558</v>
      </c>
      <c r="F208">
        <v>2018</v>
      </c>
      <c r="G208" t="s">
        <v>567</v>
      </c>
    </row>
    <row r="209" spans="1:7" x14ac:dyDescent="0.3">
      <c r="A209" t="s">
        <v>530</v>
      </c>
      <c r="B209" s="1">
        <v>43218</v>
      </c>
      <c r="C209" t="s">
        <v>695</v>
      </c>
      <c r="D209" t="s">
        <v>610</v>
      </c>
      <c r="E209" t="s">
        <v>611</v>
      </c>
      <c r="F209">
        <v>2018</v>
      </c>
      <c r="G209" t="s">
        <v>565</v>
      </c>
    </row>
    <row r="210" spans="1:7" x14ac:dyDescent="0.3">
      <c r="A210" t="s">
        <v>393</v>
      </c>
      <c r="B210" s="1">
        <v>43259</v>
      </c>
      <c r="C210" t="s">
        <v>674</v>
      </c>
      <c r="D210" t="s">
        <v>592</v>
      </c>
      <c r="E210" t="s">
        <v>593</v>
      </c>
      <c r="F210">
        <v>2018</v>
      </c>
      <c r="G210" t="s">
        <v>585</v>
      </c>
    </row>
    <row r="211" spans="1:7" x14ac:dyDescent="0.3">
      <c r="A211" t="s">
        <v>349</v>
      </c>
      <c r="B211" s="1">
        <v>43145</v>
      </c>
      <c r="C211" t="s">
        <v>760</v>
      </c>
      <c r="D211" t="s">
        <v>610</v>
      </c>
      <c r="E211" t="s">
        <v>611</v>
      </c>
      <c r="F211">
        <v>2018</v>
      </c>
      <c r="G211" t="s">
        <v>544</v>
      </c>
    </row>
    <row r="212" spans="1:7" x14ac:dyDescent="0.3">
      <c r="A212" t="s">
        <v>477</v>
      </c>
      <c r="B212" s="1">
        <v>43154</v>
      </c>
      <c r="C212" t="s">
        <v>716</v>
      </c>
      <c r="D212" t="s">
        <v>610</v>
      </c>
      <c r="E212" t="s">
        <v>611</v>
      </c>
      <c r="F212">
        <v>2018</v>
      </c>
      <c r="G212" t="s">
        <v>544</v>
      </c>
    </row>
    <row r="213" spans="1:7" x14ac:dyDescent="0.3">
      <c r="A213" t="s">
        <v>243</v>
      </c>
      <c r="B213" s="1">
        <v>43169</v>
      </c>
      <c r="C213" t="s">
        <v>761</v>
      </c>
      <c r="D213" t="s">
        <v>578</v>
      </c>
      <c r="E213" t="s">
        <v>579</v>
      </c>
      <c r="F213">
        <v>2018</v>
      </c>
      <c r="G213" t="s">
        <v>541</v>
      </c>
    </row>
    <row r="214" spans="1:7" x14ac:dyDescent="0.3">
      <c r="A214" t="s">
        <v>402</v>
      </c>
      <c r="B214" s="1">
        <v>43388</v>
      </c>
      <c r="C214" t="s">
        <v>719</v>
      </c>
      <c r="D214" t="s">
        <v>552</v>
      </c>
      <c r="E214" t="s">
        <v>590</v>
      </c>
      <c r="F214">
        <v>2018</v>
      </c>
      <c r="G214" t="s">
        <v>563</v>
      </c>
    </row>
    <row r="215" spans="1:7" x14ac:dyDescent="0.3">
      <c r="A215" t="s">
        <v>411</v>
      </c>
      <c r="B215" s="1">
        <v>43291</v>
      </c>
      <c r="C215" t="s">
        <v>762</v>
      </c>
      <c r="D215" t="s">
        <v>641</v>
      </c>
      <c r="E215" t="s">
        <v>642</v>
      </c>
      <c r="F215">
        <v>2018</v>
      </c>
      <c r="G215" t="s">
        <v>614</v>
      </c>
    </row>
    <row r="216" spans="1:7" x14ac:dyDescent="0.3">
      <c r="A216" t="s">
        <v>156</v>
      </c>
      <c r="B216" s="1">
        <v>43104</v>
      </c>
      <c r="C216" t="s">
        <v>763</v>
      </c>
      <c r="D216" t="s">
        <v>548</v>
      </c>
      <c r="E216" t="s">
        <v>549</v>
      </c>
      <c r="F216">
        <v>2018</v>
      </c>
      <c r="G216" t="s">
        <v>546</v>
      </c>
    </row>
    <row r="217" spans="1:7" x14ac:dyDescent="0.3">
      <c r="A217" t="s">
        <v>471</v>
      </c>
      <c r="B217" s="1">
        <v>43144</v>
      </c>
      <c r="C217" t="s">
        <v>764</v>
      </c>
      <c r="D217" t="s">
        <v>607</v>
      </c>
      <c r="E217" t="s">
        <v>649</v>
      </c>
      <c r="F217">
        <v>2018</v>
      </c>
      <c r="G217" t="s">
        <v>544</v>
      </c>
    </row>
    <row r="218" spans="1:7" x14ac:dyDescent="0.3">
      <c r="A218" t="s">
        <v>59</v>
      </c>
      <c r="B218" s="1">
        <v>43231</v>
      </c>
      <c r="C218" t="s">
        <v>765</v>
      </c>
      <c r="D218" t="s">
        <v>552</v>
      </c>
      <c r="E218" t="s">
        <v>553</v>
      </c>
      <c r="F218">
        <v>2018</v>
      </c>
      <c r="G218" t="s">
        <v>624</v>
      </c>
    </row>
    <row r="219" spans="1:7" x14ac:dyDescent="0.3">
      <c r="A219" t="s">
        <v>519</v>
      </c>
      <c r="B219" s="1">
        <v>43385</v>
      </c>
      <c r="C219" t="s">
        <v>766</v>
      </c>
      <c r="D219" t="s">
        <v>561</v>
      </c>
      <c r="E219" t="s">
        <v>562</v>
      </c>
      <c r="F219">
        <v>2018</v>
      </c>
      <c r="G219" t="s">
        <v>563</v>
      </c>
    </row>
    <row r="220" spans="1:7" x14ac:dyDescent="0.3">
      <c r="A220" t="s">
        <v>334</v>
      </c>
      <c r="B220" s="1">
        <v>43216</v>
      </c>
      <c r="C220" t="s">
        <v>767</v>
      </c>
      <c r="D220" t="s">
        <v>661</v>
      </c>
      <c r="E220" t="s">
        <v>661</v>
      </c>
      <c r="F220">
        <v>2018</v>
      </c>
      <c r="G220" t="s">
        <v>565</v>
      </c>
    </row>
    <row r="221" spans="1:7" x14ac:dyDescent="0.3">
      <c r="A221" t="s">
        <v>315</v>
      </c>
      <c r="B221" s="1">
        <v>43438</v>
      </c>
      <c r="C221" t="s">
        <v>768</v>
      </c>
      <c r="D221" t="s">
        <v>569</v>
      </c>
      <c r="E221" t="s">
        <v>570</v>
      </c>
      <c r="F221">
        <v>2018</v>
      </c>
      <c r="G221" t="s">
        <v>550</v>
      </c>
    </row>
    <row r="222" spans="1:7" x14ac:dyDescent="0.3">
      <c r="A222" t="s">
        <v>108</v>
      </c>
      <c r="B222" s="1">
        <v>43262</v>
      </c>
      <c r="C222" t="s">
        <v>769</v>
      </c>
      <c r="D222" t="s">
        <v>548</v>
      </c>
      <c r="E222" t="s">
        <v>549</v>
      </c>
      <c r="F222">
        <v>2018</v>
      </c>
      <c r="G222" t="s">
        <v>585</v>
      </c>
    </row>
    <row r="223" spans="1:7" x14ac:dyDescent="0.3">
      <c r="A223" t="s">
        <v>33</v>
      </c>
      <c r="B223" s="1">
        <v>43237</v>
      </c>
      <c r="C223" t="s">
        <v>770</v>
      </c>
      <c r="D223" t="s">
        <v>548</v>
      </c>
      <c r="E223" t="s">
        <v>549</v>
      </c>
      <c r="F223">
        <v>2018</v>
      </c>
      <c r="G223" t="s">
        <v>624</v>
      </c>
    </row>
    <row r="224" spans="1:7" x14ac:dyDescent="0.3">
      <c r="A224" t="s">
        <v>228</v>
      </c>
      <c r="B224" s="1">
        <v>43216</v>
      </c>
      <c r="C224" t="s">
        <v>771</v>
      </c>
      <c r="D224" t="s">
        <v>596</v>
      </c>
      <c r="E224" t="s">
        <v>597</v>
      </c>
      <c r="F224">
        <v>2018</v>
      </c>
      <c r="G224" t="s">
        <v>565</v>
      </c>
    </row>
    <row r="225" spans="1:7" x14ac:dyDescent="0.3">
      <c r="A225" t="s">
        <v>405</v>
      </c>
      <c r="B225" s="1">
        <v>43172</v>
      </c>
      <c r="C225" t="s">
        <v>675</v>
      </c>
      <c r="D225" t="s">
        <v>548</v>
      </c>
      <c r="E225" t="s">
        <v>549</v>
      </c>
      <c r="F225">
        <v>2018</v>
      </c>
      <c r="G225" t="s">
        <v>541</v>
      </c>
    </row>
    <row r="226" spans="1:7" x14ac:dyDescent="0.3">
      <c r="A226" t="s">
        <v>106</v>
      </c>
      <c r="B226" s="1">
        <v>43162</v>
      </c>
      <c r="C226" t="s">
        <v>771</v>
      </c>
      <c r="D226" t="s">
        <v>596</v>
      </c>
      <c r="E226" t="s">
        <v>597</v>
      </c>
      <c r="F226">
        <v>2018</v>
      </c>
      <c r="G226" t="s">
        <v>541</v>
      </c>
    </row>
    <row r="227" spans="1:7" x14ac:dyDescent="0.3">
      <c r="A227" t="s">
        <v>134</v>
      </c>
      <c r="B227" s="1">
        <v>43345</v>
      </c>
      <c r="C227" t="s">
        <v>772</v>
      </c>
      <c r="D227" t="s">
        <v>552</v>
      </c>
      <c r="E227" t="s">
        <v>553</v>
      </c>
      <c r="F227">
        <v>2018</v>
      </c>
      <c r="G227" t="s">
        <v>583</v>
      </c>
    </row>
    <row r="228" spans="1:7" x14ac:dyDescent="0.3">
      <c r="A228" t="s">
        <v>493</v>
      </c>
      <c r="B228" s="1">
        <v>43320</v>
      </c>
      <c r="C228" t="s">
        <v>773</v>
      </c>
      <c r="D228" t="s">
        <v>561</v>
      </c>
      <c r="E228" t="s">
        <v>562</v>
      </c>
      <c r="F228">
        <v>2018</v>
      </c>
      <c r="G228" t="s">
        <v>554</v>
      </c>
    </row>
    <row r="229" spans="1:7" x14ac:dyDescent="0.3">
      <c r="A229" t="s">
        <v>143</v>
      </c>
      <c r="B229" s="1">
        <v>43208</v>
      </c>
      <c r="C229" t="s">
        <v>646</v>
      </c>
      <c r="D229" t="s">
        <v>561</v>
      </c>
      <c r="E229" t="s">
        <v>562</v>
      </c>
      <c r="F229">
        <v>2018</v>
      </c>
      <c r="G229" t="s">
        <v>565</v>
      </c>
    </row>
    <row r="230" spans="1:7" x14ac:dyDescent="0.3">
      <c r="A230" t="s">
        <v>288</v>
      </c>
      <c r="B230" s="1">
        <v>43118</v>
      </c>
      <c r="C230" t="s">
        <v>774</v>
      </c>
      <c r="D230" t="s">
        <v>632</v>
      </c>
      <c r="E230" t="s">
        <v>633</v>
      </c>
      <c r="F230">
        <v>2018</v>
      </c>
      <c r="G230" t="s">
        <v>546</v>
      </c>
    </row>
    <row r="231" spans="1:7" x14ac:dyDescent="0.3">
      <c r="A231" t="s">
        <v>207</v>
      </c>
      <c r="B231" s="1">
        <v>43345</v>
      </c>
      <c r="C231" t="s">
        <v>759</v>
      </c>
      <c r="D231" t="s">
        <v>548</v>
      </c>
      <c r="E231" t="s">
        <v>549</v>
      </c>
      <c r="F231">
        <v>2018</v>
      </c>
      <c r="G231" t="s">
        <v>583</v>
      </c>
    </row>
    <row r="232" spans="1:7" x14ac:dyDescent="0.3">
      <c r="A232" t="s">
        <v>518</v>
      </c>
      <c r="B232" s="1">
        <v>43208</v>
      </c>
      <c r="C232" t="s">
        <v>775</v>
      </c>
      <c r="D232" t="s">
        <v>569</v>
      </c>
      <c r="E232" t="s">
        <v>576</v>
      </c>
      <c r="F232">
        <v>2018</v>
      </c>
      <c r="G232" t="s">
        <v>565</v>
      </c>
    </row>
    <row r="233" spans="1:7" x14ac:dyDescent="0.3">
      <c r="A233" t="s">
        <v>452</v>
      </c>
      <c r="B233" s="1">
        <v>43262</v>
      </c>
      <c r="C233" t="s">
        <v>776</v>
      </c>
      <c r="D233" t="s">
        <v>552</v>
      </c>
      <c r="E233" t="s">
        <v>553</v>
      </c>
      <c r="F233">
        <v>2018</v>
      </c>
      <c r="G233" t="s">
        <v>585</v>
      </c>
    </row>
    <row r="234" spans="1:7" x14ac:dyDescent="0.3">
      <c r="A234" t="s">
        <v>503</v>
      </c>
      <c r="B234" s="1">
        <v>43398</v>
      </c>
      <c r="C234" t="s">
        <v>777</v>
      </c>
      <c r="D234" t="s">
        <v>605</v>
      </c>
      <c r="E234" t="s">
        <v>588</v>
      </c>
      <c r="F234">
        <v>2018</v>
      </c>
      <c r="G234" t="s">
        <v>563</v>
      </c>
    </row>
    <row r="235" spans="1:7" x14ac:dyDescent="0.3">
      <c r="A235" t="s">
        <v>505</v>
      </c>
      <c r="B235" s="1">
        <v>43154</v>
      </c>
      <c r="C235" t="s">
        <v>571</v>
      </c>
      <c r="D235" t="s">
        <v>548</v>
      </c>
      <c r="E235" t="s">
        <v>549</v>
      </c>
      <c r="F235">
        <v>2018</v>
      </c>
      <c r="G235" t="s">
        <v>544</v>
      </c>
    </row>
    <row r="236" spans="1:7" x14ac:dyDescent="0.3">
      <c r="A236" t="s">
        <v>202</v>
      </c>
      <c r="B236" s="1">
        <v>43290</v>
      </c>
      <c r="C236" t="s">
        <v>778</v>
      </c>
      <c r="D236" t="s">
        <v>610</v>
      </c>
      <c r="E236" t="s">
        <v>611</v>
      </c>
      <c r="F236">
        <v>2018</v>
      </c>
      <c r="G236" t="s">
        <v>614</v>
      </c>
    </row>
    <row r="237" spans="1:7" x14ac:dyDescent="0.3">
      <c r="A237" t="s">
        <v>100</v>
      </c>
      <c r="B237" s="1">
        <v>43132</v>
      </c>
      <c r="C237" t="s">
        <v>669</v>
      </c>
      <c r="D237" t="s">
        <v>543</v>
      </c>
      <c r="E237" t="s">
        <v>543</v>
      </c>
      <c r="F237">
        <v>2018</v>
      </c>
      <c r="G237" t="s">
        <v>544</v>
      </c>
    </row>
    <row r="238" spans="1:7" x14ac:dyDescent="0.3">
      <c r="A238" t="s">
        <v>410</v>
      </c>
      <c r="B238" s="1">
        <v>43408</v>
      </c>
      <c r="C238" t="s">
        <v>779</v>
      </c>
      <c r="D238" t="s">
        <v>711</v>
      </c>
      <c r="E238" t="s">
        <v>712</v>
      </c>
      <c r="F238">
        <v>2018</v>
      </c>
      <c r="G238" t="s">
        <v>567</v>
      </c>
    </row>
    <row r="239" spans="1:7" x14ac:dyDescent="0.3">
      <c r="A239" t="s">
        <v>224</v>
      </c>
      <c r="B239" s="1">
        <v>43410</v>
      </c>
      <c r="C239" t="s">
        <v>780</v>
      </c>
      <c r="D239" t="s">
        <v>596</v>
      </c>
      <c r="E239" t="s">
        <v>597</v>
      </c>
      <c r="F239">
        <v>2018</v>
      </c>
      <c r="G239" t="s">
        <v>567</v>
      </c>
    </row>
    <row r="240" spans="1:7" x14ac:dyDescent="0.3">
      <c r="A240" t="s">
        <v>496</v>
      </c>
      <c r="B240" s="1">
        <v>43358</v>
      </c>
      <c r="C240" t="s">
        <v>781</v>
      </c>
      <c r="D240" t="s">
        <v>548</v>
      </c>
      <c r="E240" t="s">
        <v>549</v>
      </c>
      <c r="F240">
        <v>2018</v>
      </c>
      <c r="G240" t="s">
        <v>583</v>
      </c>
    </row>
    <row r="241" spans="1:7" x14ac:dyDescent="0.3">
      <c r="A241" t="s">
        <v>348</v>
      </c>
      <c r="B241" s="1">
        <v>43210</v>
      </c>
      <c r="C241" t="s">
        <v>782</v>
      </c>
      <c r="D241" t="s">
        <v>552</v>
      </c>
      <c r="E241" t="s">
        <v>590</v>
      </c>
      <c r="F241">
        <v>2018</v>
      </c>
      <c r="G241" t="s">
        <v>565</v>
      </c>
    </row>
    <row r="242" spans="1:7" x14ac:dyDescent="0.3">
      <c r="A242" t="s">
        <v>99</v>
      </c>
      <c r="B242" s="1">
        <v>43135</v>
      </c>
      <c r="C242" t="s">
        <v>783</v>
      </c>
      <c r="D242" t="s">
        <v>543</v>
      </c>
      <c r="E242" t="s">
        <v>543</v>
      </c>
      <c r="F242">
        <v>2018</v>
      </c>
      <c r="G242" t="s">
        <v>544</v>
      </c>
    </row>
    <row r="243" spans="1:7" x14ac:dyDescent="0.3">
      <c r="A243" t="s">
        <v>21</v>
      </c>
      <c r="B243" s="1">
        <v>43254</v>
      </c>
      <c r="C243" t="s">
        <v>784</v>
      </c>
      <c r="D243" t="s">
        <v>610</v>
      </c>
      <c r="E243" t="s">
        <v>611</v>
      </c>
      <c r="F243">
        <v>2018</v>
      </c>
      <c r="G243" t="s">
        <v>585</v>
      </c>
    </row>
    <row r="244" spans="1:7" x14ac:dyDescent="0.3">
      <c r="A244" t="s">
        <v>450</v>
      </c>
      <c r="B244" s="1">
        <v>43303</v>
      </c>
      <c r="C244" t="s">
        <v>785</v>
      </c>
      <c r="D244" t="s">
        <v>552</v>
      </c>
      <c r="E244" t="s">
        <v>553</v>
      </c>
      <c r="F244">
        <v>2018</v>
      </c>
      <c r="G244" t="s">
        <v>614</v>
      </c>
    </row>
    <row r="245" spans="1:7" x14ac:dyDescent="0.3">
      <c r="A245" t="s">
        <v>407</v>
      </c>
      <c r="B245" s="1">
        <v>43145</v>
      </c>
      <c r="C245" t="s">
        <v>625</v>
      </c>
      <c r="D245" t="s">
        <v>626</v>
      </c>
      <c r="E245" t="s">
        <v>627</v>
      </c>
      <c r="F245">
        <v>2018</v>
      </c>
      <c r="G245" t="s">
        <v>544</v>
      </c>
    </row>
    <row r="246" spans="1:7" x14ac:dyDescent="0.3">
      <c r="A246" t="s">
        <v>454</v>
      </c>
      <c r="B246" s="1">
        <v>43336</v>
      </c>
      <c r="C246" t="s">
        <v>584</v>
      </c>
      <c r="D246" t="s">
        <v>661</v>
      </c>
      <c r="E246" t="s">
        <v>661</v>
      </c>
      <c r="F246">
        <v>2018</v>
      </c>
      <c r="G246" t="s">
        <v>554</v>
      </c>
    </row>
    <row r="247" spans="1:7" x14ac:dyDescent="0.3">
      <c r="A247" t="s">
        <v>392</v>
      </c>
      <c r="B247" s="1">
        <v>43378</v>
      </c>
      <c r="C247" t="s">
        <v>786</v>
      </c>
      <c r="D247" t="s">
        <v>610</v>
      </c>
      <c r="E247" t="s">
        <v>611</v>
      </c>
      <c r="F247">
        <v>2018</v>
      </c>
      <c r="G247" t="s">
        <v>563</v>
      </c>
    </row>
    <row r="248" spans="1:7" x14ac:dyDescent="0.3">
      <c r="A248" t="s">
        <v>180</v>
      </c>
      <c r="B248" s="1">
        <v>43330</v>
      </c>
      <c r="C248" t="s">
        <v>787</v>
      </c>
      <c r="D248" t="s">
        <v>578</v>
      </c>
      <c r="E248" t="s">
        <v>579</v>
      </c>
      <c r="F248">
        <v>2018</v>
      </c>
      <c r="G248" t="s">
        <v>554</v>
      </c>
    </row>
    <row r="249" spans="1:7" x14ac:dyDescent="0.3">
      <c r="A249" t="s">
        <v>491</v>
      </c>
      <c r="B249" s="1">
        <v>43147</v>
      </c>
      <c r="C249" t="s">
        <v>572</v>
      </c>
      <c r="D249" t="s">
        <v>578</v>
      </c>
      <c r="E249" t="s">
        <v>579</v>
      </c>
      <c r="F249">
        <v>2018</v>
      </c>
      <c r="G249" t="s">
        <v>544</v>
      </c>
    </row>
    <row r="250" spans="1:7" x14ac:dyDescent="0.3">
      <c r="A250" t="s">
        <v>163</v>
      </c>
      <c r="B250" s="1">
        <v>43217</v>
      </c>
      <c r="C250" t="s">
        <v>751</v>
      </c>
      <c r="D250" t="s">
        <v>607</v>
      </c>
      <c r="E250" t="s">
        <v>649</v>
      </c>
      <c r="F250">
        <v>2018</v>
      </c>
      <c r="G250" t="s">
        <v>565</v>
      </c>
    </row>
    <row r="251" spans="1:7" x14ac:dyDescent="0.3">
      <c r="A251" t="s">
        <v>76</v>
      </c>
      <c r="B251" s="1">
        <v>43365</v>
      </c>
      <c r="C251" t="s">
        <v>787</v>
      </c>
      <c r="D251" t="s">
        <v>539</v>
      </c>
      <c r="E251" t="s">
        <v>620</v>
      </c>
      <c r="F251">
        <v>2018</v>
      </c>
      <c r="G251" t="s">
        <v>583</v>
      </c>
    </row>
    <row r="252" spans="1:7" x14ac:dyDescent="0.3">
      <c r="A252" t="s">
        <v>401</v>
      </c>
      <c r="B252" s="1">
        <v>43179</v>
      </c>
      <c r="C252" t="s">
        <v>770</v>
      </c>
      <c r="D252" t="s">
        <v>548</v>
      </c>
      <c r="E252" t="s">
        <v>549</v>
      </c>
      <c r="F252">
        <v>2018</v>
      </c>
      <c r="G252" t="s">
        <v>541</v>
      </c>
    </row>
    <row r="253" spans="1:7" x14ac:dyDescent="0.3">
      <c r="A253" t="s">
        <v>309</v>
      </c>
      <c r="B253" s="1">
        <v>43140</v>
      </c>
      <c r="C253" t="s">
        <v>715</v>
      </c>
      <c r="D253" t="s">
        <v>641</v>
      </c>
      <c r="E253" t="s">
        <v>642</v>
      </c>
      <c r="F253">
        <v>2018</v>
      </c>
      <c r="G253" t="s">
        <v>544</v>
      </c>
    </row>
    <row r="254" spans="1:7" x14ac:dyDescent="0.3">
      <c r="A254" t="s">
        <v>135</v>
      </c>
      <c r="B254" s="1">
        <v>43185</v>
      </c>
      <c r="C254" t="s">
        <v>749</v>
      </c>
      <c r="D254" t="s">
        <v>581</v>
      </c>
      <c r="E254" t="s">
        <v>582</v>
      </c>
      <c r="F254">
        <v>2018</v>
      </c>
      <c r="G254" t="s">
        <v>541</v>
      </c>
    </row>
    <row r="255" spans="1:7" x14ac:dyDescent="0.3">
      <c r="A255" t="s">
        <v>453</v>
      </c>
      <c r="B255" s="1">
        <v>43207</v>
      </c>
      <c r="C255" t="s">
        <v>788</v>
      </c>
      <c r="D255" t="s">
        <v>596</v>
      </c>
      <c r="E255" t="s">
        <v>597</v>
      </c>
      <c r="F255">
        <v>2018</v>
      </c>
      <c r="G255" t="s">
        <v>565</v>
      </c>
    </row>
    <row r="256" spans="1:7" x14ac:dyDescent="0.3">
      <c r="A256" t="s">
        <v>490</v>
      </c>
      <c r="B256" s="1">
        <v>43130</v>
      </c>
      <c r="C256" t="s">
        <v>756</v>
      </c>
      <c r="D256" t="s">
        <v>543</v>
      </c>
      <c r="E256" t="s">
        <v>543</v>
      </c>
      <c r="F256">
        <v>2018</v>
      </c>
      <c r="G256" t="s">
        <v>546</v>
      </c>
    </row>
    <row r="257" spans="1:7" x14ac:dyDescent="0.3">
      <c r="A257" t="s">
        <v>164</v>
      </c>
      <c r="B257" s="1">
        <v>43343</v>
      </c>
      <c r="C257" t="s">
        <v>789</v>
      </c>
      <c r="D257" t="s">
        <v>632</v>
      </c>
      <c r="E257" t="s">
        <v>633</v>
      </c>
      <c r="F257">
        <v>2018</v>
      </c>
      <c r="G257" t="s">
        <v>554</v>
      </c>
    </row>
    <row r="258" spans="1:7" x14ac:dyDescent="0.3">
      <c r="A258" t="s">
        <v>482</v>
      </c>
      <c r="B258" s="1">
        <v>43131</v>
      </c>
      <c r="C258" t="s">
        <v>790</v>
      </c>
      <c r="D258" t="s">
        <v>543</v>
      </c>
      <c r="E258" t="s">
        <v>543</v>
      </c>
      <c r="F258">
        <v>2018</v>
      </c>
      <c r="G258" t="s">
        <v>546</v>
      </c>
    </row>
    <row r="259" spans="1:7" x14ac:dyDescent="0.3">
      <c r="A259" t="s">
        <v>308</v>
      </c>
      <c r="B259" s="1">
        <v>43404</v>
      </c>
      <c r="C259" t="s">
        <v>791</v>
      </c>
      <c r="D259" t="s">
        <v>610</v>
      </c>
      <c r="E259" t="s">
        <v>611</v>
      </c>
      <c r="F259">
        <v>2018</v>
      </c>
      <c r="G259" t="s">
        <v>563</v>
      </c>
    </row>
    <row r="260" spans="1:7" x14ac:dyDescent="0.3">
      <c r="A260" t="s">
        <v>317</v>
      </c>
      <c r="B260" s="1">
        <v>43239</v>
      </c>
      <c r="C260" t="s">
        <v>617</v>
      </c>
      <c r="D260" t="s">
        <v>552</v>
      </c>
      <c r="E260" t="s">
        <v>553</v>
      </c>
      <c r="F260">
        <v>2018</v>
      </c>
      <c r="G260" t="s">
        <v>624</v>
      </c>
    </row>
    <row r="261" spans="1:7" x14ac:dyDescent="0.3">
      <c r="A261" t="s">
        <v>101</v>
      </c>
      <c r="B261" s="1">
        <v>43152</v>
      </c>
      <c r="C261" t="s">
        <v>559</v>
      </c>
      <c r="D261" t="s">
        <v>548</v>
      </c>
      <c r="E261" t="s">
        <v>558</v>
      </c>
      <c r="F261">
        <v>2018</v>
      </c>
      <c r="G261" t="s">
        <v>544</v>
      </c>
    </row>
    <row r="262" spans="1:7" x14ac:dyDescent="0.3">
      <c r="A262" t="s">
        <v>295</v>
      </c>
      <c r="B262" s="1">
        <v>43113</v>
      </c>
      <c r="C262" t="s">
        <v>792</v>
      </c>
      <c r="D262" t="s">
        <v>569</v>
      </c>
      <c r="E262" t="s">
        <v>576</v>
      </c>
      <c r="F262">
        <v>2018</v>
      </c>
      <c r="G262" t="s">
        <v>546</v>
      </c>
    </row>
    <row r="263" spans="1:7" x14ac:dyDescent="0.3">
      <c r="A263" t="s">
        <v>212</v>
      </c>
      <c r="B263" s="1">
        <v>43439</v>
      </c>
      <c r="C263" t="s">
        <v>747</v>
      </c>
      <c r="D263" t="s">
        <v>548</v>
      </c>
      <c r="E263" t="s">
        <v>549</v>
      </c>
      <c r="F263">
        <v>2018</v>
      </c>
      <c r="G263" t="s">
        <v>550</v>
      </c>
    </row>
    <row r="264" spans="1:7" x14ac:dyDescent="0.3">
      <c r="A264" t="s">
        <v>316</v>
      </c>
      <c r="B264" s="1">
        <v>43141</v>
      </c>
      <c r="C264" t="s">
        <v>793</v>
      </c>
      <c r="D264" t="s">
        <v>539</v>
      </c>
      <c r="E264" t="s">
        <v>620</v>
      </c>
      <c r="F264">
        <v>2018</v>
      </c>
      <c r="G264" t="s">
        <v>544</v>
      </c>
    </row>
    <row r="265" spans="1:7" x14ac:dyDescent="0.3">
      <c r="A265" t="s">
        <v>442</v>
      </c>
      <c r="B265" s="1">
        <v>43428</v>
      </c>
      <c r="C265" t="s">
        <v>794</v>
      </c>
      <c r="D265" t="s">
        <v>587</v>
      </c>
      <c r="E265" t="s">
        <v>652</v>
      </c>
      <c r="F265">
        <v>2018</v>
      </c>
      <c r="G265" t="s">
        <v>567</v>
      </c>
    </row>
    <row r="266" spans="1:7" x14ac:dyDescent="0.3">
      <c r="A266" t="s">
        <v>93</v>
      </c>
      <c r="B266" s="1">
        <v>43453</v>
      </c>
      <c r="C266" t="s">
        <v>795</v>
      </c>
      <c r="D266" t="s">
        <v>587</v>
      </c>
      <c r="E266" t="s">
        <v>652</v>
      </c>
      <c r="F266">
        <v>2018</v>
      </c>
      <c r="G266" t="s">
        <v>550</v>
      </c>
    </row>
    <row r="267" spans="1:7" x14ac:dyDescent="0.3">
      <c r="A267" t="s">
        <v>185</v>
      </c>
      <c r="B267" s="1">
        <v>43367</v>
      </c>
      <c r="C267" t="s">
        <v>796</v>
      </c>
      <c r="D267" t="s">
        <v>711</v>
      </c>
      <c r="E267" t="s">
        <v>712</v>
      </c>
      <c r="F267">
        <v>2018</v>
      </c>
      <c r="G267" t="s">
        <v>583</v>
      </c>
    </row>
    <row r="268" spans="1:7" x14ac:dyDescent="0.3">
      <c r="A268" t="s">
        <v>293</v>
      </c>
      <c r="B268" s="1">
        <v>43139</v>
      </c>
      <c r="C268" t="s">
        <v>682</v>
      </c>
      <c r="D268" t="s">
        <v>543</v>
      </c>
      <c r="E268" t="s">
        <v>543</v>
      </c>
      <c r="F268">
        <v>2018</v>
      </c>
      <c r="G268" t="s">
        <v>544</v>
      </c>
    </row>
    <row r="269" spans="1:7" x14ac:dyDescent="0.3">
      <c r="A269" t="s">
        <v>19</v>
      </c>
      <c r="B269" s="1">
        <v>43221</v>
      </c>
      <c r="C269" t="s">
        <v>797</v>
      </c>
      <c r="D269" t="s">
        <v>552</v>
      </c>
      <c r="E269" t="s">
        <v>553</v>
      </c>
      <c r="F269">
        <v>2018</v>
      </c>
      <c r="G269" t="s">
        <v>624</v>
      </c>
    </row>
    <row r="270" spans="1:7" x14ac:dyDescent="0.3">
      <c r="A270" t="s">
        <v>473</v>
      </c>
      <c r="B270" s="1">
        <v>43402</v>
      </c>
      <c r="C270" t="s">
        <v>798</v>
      </c>
      <c r="D270" t="s">
        <v>548</v>
      </c>
      <c r="E270" t="s">
        <v>549</v>
      </c>
      <c r="F270">
        <v>2018</v>
      </c>
      <c r="G270" t="s">
        <v>563</v>
      </c>
    </row>
    <row r="271" spans="1:7" x14ac:dyDescent="0.3">
      <c r="A271" t="s">
        <v>167</v>
      </c>
      <c r="B271" s="1">
        <v>43202</v>
      </c>
      <c r="C271" t="s">
        <v>586</v>
      </c>
      <c r="D271" t="s">
        <v>587</v>
      </c>
      <c r="E271" t="s">
        <v>588</v>
      </c>
      <c r="F271">
        <v>2018</v>
      </c>
      <c r="G271" t="s">
        <v>565</v>
      </c>
    </row>
    <row r="272" spans="1:7" x14ac:dyDescent="0.3">
      <c r="A272" t="s">
        <v>472</v>
      </c>
      <c r="B272" s="1">
        <v>43383</v>
      </c>
      <c r="C272" t="s">
        <v>799</v>
      </c>
      <c r="D272" t="s">
        <v>552</v>
      </c>
      <c r="E272" t="s">
        <v>553</v>
      </c>
      <c r="F272">
        <v>2018</v>
      </c>
      <c r="G272" t="s">
        <v>563</v>
      </c>
    </row>
    <row r="273" spans="1:7" x14ac:dyDescent="0.3">
      <c r="A273" t="s">
        <v>216</v>
      </c>
      <c r="B273" s="1">
        <v>43407</v>
      </c>
      <c r="C273" t="s">
        <v>800</v>
      </c>
      <c r="D273" t="s">
        <v>548</v>
      </c>
      <c r="E273" t="s">
        <v>549</v>
      </c>
      <c r="F273">
        <v>2018</v>
      </c>
      <c r="G273" t="s">
        <v>567</v>
      </c>
    </row>
    <row r="274" spans="1:7" x14ac:dyDescent="0.3">
      <c r="A274" t="s">
        <v>364</v>
      </c>
      <c r="B274" s="1">
        <v>43150</v>
      </c>
      <c r="C274" t="s">
        <v>801</v>
      </c>
      <c r="D274" t="s">
        <v>661</v>
      </c>
      <c r="E274" t="s">
        <v>661</v>
      </c>
      <c r="F274">
        <v>2018</v>
      </c>
      <c r="G274" t="s">
        <v>544</v>
      </c>
    </row>
    <row r="275" spans="1:7" x14ac:dyDescent="0.3">
      <c r="A275" t="s">
        <v>184</v>
      </c>
      <c r="B275" s="1">
        <v>43349</v>
      </c>
      <c r="C275" t="s">
        <v>674</v>
      </c>
      <c r="D275" t="s">
        <v>592</v>
      </c>
      <c r="E275" t="s">
        <v>593</v>
      </c>
      <c r="F275">
        <v>2018</v>
      </c>
      <c r="G275" t="s">
        <v>583</v>
      </c>
    </row>
    <row r="276" spans="1:7" x14ac:dyDescent="0.3">
      <c r="A276" t="s">
        <v>255</v>
      </c>
      <c r="B276" s="1">
        <v>43428</v>
      </c>
      <c r="C276" t="s">
        <v>802</v>
      </c>
      <c r="D276" t="s">
        <v>539</v>
      </c>
      <c r="E276" t="s">
        <v>556</v>
      </c>
      <c r="F276">
        <v>2018</v>
      </c>
      <c r="G276" t="s">
        <v>567</v>
      </c>
    </row>
    <row r="277" spans="1:7" x14ac:dyDescent="0.3">
      <c r="A277" t="s">
        <v>336</v>
      </c>
      <c r="B277" s="1">
        <v>43236</v>
      </c>
      <c r="C277" t="s">
        <v>603</v>
      </c>
      <c r="D277" t="s">
        <v>610</v>
      </c>
      <c r="E277" t="s">
        <v>611</v>
      </c>
      <c r="F277">
        <v>2018</v>
      </c>
      <c r="G277" t="s">
        <v>624</v>
      </c>
    </row>
    <row r="278" spans="1:7" x14ac:dyDescent="0.3">
      <c r="A278" t="s">
        <v>455</v>
      </c>
      <c r="B278" s="1">
        <v>43456</v>
      </c>
      <c r="C278" t="s">
        <v>803</v>
      </c>
      <c r="D278" t="s">
        <v>552</v>
      </c>
      <c r="E278" t="s">
        <v>553</v>
      </c>
      <c r="F278">
        <v>2018</v>
      </c>
      <c r="G278" t="s">
        <v>550</v>
      </c>
    </row>
    <row r="279" spans="1:7" x14ac:dyDescent="0.3">
      <c r="A279" t="s">
        <v>312</v>
      </c>
      <c r="B279" s="1">
        <v>43122</v>
      </c>
      <c r="C279" t="s">
        <v>689</v>
      </c>
      <c r="D279" t="s">
        <v>552</v>
      </c>
      <c r="E279" t="s">
        <v>553</v>
      </c>
      <c r="F279">
        <v>2018</v>
      </c>
      <c r="G279" t="s">
        <v>546</v>
      </c>
    </row>
    <row r="280" spans="1:7" x14ac:dyDescent="0.3">
      <c r="A280" t="s">
        <v>423</v>
      </c>
      <c r="B280" s="1">
        <v>43174</v>
      </c>
      <c r="C280" t="s">
        <v>634</v>
      </c>
      <c r="D280" t="s">
        <v>596</v>
      </c>
      <c r="E280" t="s">
        <v>597</v>
      </c>
      <c r="F280">
        <v>2018</v>
      </c>
      <c r="G280" t="s">
        <v>541</v>
      </c>
    </row>
    <row r="281" spans="1:7" x14ac:dyDescent="0.3">
      <c r="A281" t="s">
        <v>378</v>
      </c>
      <c r="B281" s="1">
        <v>43421</v>
      </c>
      <c r="C281" t="s">
        <v>663</v>
      </c>
      <c r="D281" t="s">
        <v>711</v>
      </c>
      <c r="E281" t="s">
        <v>712</v>
      </c>
      <c r="F281">
        <v>2018</v>
      </c>
      <c r="G281" t="s">
        <v>567</v>
      </c>
    </row>
    <row r="282" spans="1:7" x14ac:dyDescent="0.3">
      <c r="A282" t="s">
        <v>181</v>
      </c>
      <c r="B282" s="1">
        <v>43279</v>
      </c>
      <c r="C282" t="s">
        <v>804</v>
      </c>
      <c r="D282" t="s">
        <v>552</v>
      </c>
      <c r="E282" t="s">
        <v>553</v>
      </c>
      <c r="F282">
        <v>2018</v>
      </c>
      <c r="G282" t="s">
        <v>585</v>
      </c>
    </row>
    <row r="283" spans="1:7" x14ac:dyDescent="0.3">
      <c r="A283" t="s">
        <v>171</v>
      </c>
      <c r="B283" s="1">
        <v>43237</v>
      </c>
      <c r="C283" t="s">
        <v>805</v>
      </c>
      <c r="D283" t="s">
        <v>641</v>
      </c>
      <c r="E283" t="s">
        <v>642</v>
      </c>
      <c r="F283">
        <v>2018</v>
      </c>
      <c r="G283" t="s">
        <v>624</v>
      </c>
    </row>
    <row r="284" spans="1:7" x14ac:dyDescent="0.3">
      <c r="A284" t="s">
        <v>183</v>
      </c>
      <c r="B284" s="1">
        <v>43324</v>
      </c>
      <c r="C284" t="s">
        <v>806</v>
      </c>
      <c r="D284" t="s">
        <v>607</v>
      </c>
      <c r="E284" t="s">
        <v>649</v>
      </c>
      <c r="F284">
        <v>2018</v>
      </c>
      <c r="G284" t="s">
        <v>554</v>
      </c>
    </row>
    <row r="285" spans="1:7" x14ac:dyDescent="0.3">
      <c r="A285" t="s">
        <v>188</v>
      </c>
      <c r="B285" s="1">
        <v>43342</v>
      </c>
      <c r="C285" t="s">
        <v>618</v>
      </c>
      <c r="D285" t="s">
        <v>607</v>
      </c>
      <c r="E285" t="s">
        <v>649</v>
      </c>
      <c r="F285">
        <v>2018</v>
      </c>
      <c r="G285" t="s">
        <v>554</v>
      </c>
    </row>
    <row r="286" spans="1:7" x14ac:dyDescent="0.3">
      <c r="A286" t="s">
        <v>237</v>
      </c>
      <c r="B286" s="1">
        <v>43419</v>
      </c>
      <c r="C286" t="s">
        <v>807</v>
      </c>
      <c r="D286" t="s">
        <v>539</v>
      </c>
      <c r="E286" t="s">
        <v>620</v>
      </c>
      <c r="F286">
        <v>2018</v>
      </c>
      <c r="G286" t="s">
        <v>567</v>
      </c>
    </row>
    <row r="287" spans="1:7" x14ac:dyDescent="0.3">
      <c r="A287" t="s">
        <v>509</v>
      </c>
      <c r="B287" s="1">
        <v>43170</v>
      </c>
      <c r="C287" t="s">
        <v>808</v>
      </c>
      <c r="D287" t="s">
        <v>587</v>
      </c>
      <c r="E287" t="s">
        <v>588</v>
      </c>
      <c r="F287">
        <v>2018</v>
      </c>
      <c r="G287" t="s">
        <v>541</v>
      </c>
    </row>
    <row r="288" spans="1:7" x14ac:dyDescent="0.3">
      <c r="A288" t="s">
        <v>286</v>
      </c>
      <c r="B288" s="1">
        <v>43381</v>
      </c>
      <c r="C288" t="s">
        <v>809</v>
      </c>
      <c r="D288" t="s">
        <v>578</v>
      </c>
      <c r="E288" t="s">
        <v>579</v>
      </c>
      <c r="F288">
        <v>2018</v>
      </c>
      <c r="G288" t="s">
        <v>563</v>
      </c>
    </row>
    <row r="289" spans="1:7" x14ac:dyDescent="0.3">
      <c r="A289" t="s">
        <v>87</v>
      </c>
      <c r="B289" s="1">
        <v>43443</v>
      </c>
      <c r="C289" t="s">
        <v>730</v>
      </c>
      <c r="D289" t="s">
        <v>587</v>
      </c>
      <c r="E289" t="s">
        <v>652</v>
      </c>
      <c r="F289">
        <v>2018</v>
      </c>
      <c r="G289" t="s">
        <v>550</v>
      </c>
    </row>
    <row r="290" spans="1:7" x14ac:dyDescent="0.3">
      <c r="A290" t="s">
        <v>426</v>
      </c>
      <c r="B290" s="1">
        <v>43184</v>
      </c>
      <c r="C290" t="s">
        <v>810</v>
      </c>
      <c r="D290" t="s">
        <v>592</v>
      </c>
      <c r="E290" t="s">
        <v>593</v>
      </c>
      <c r="F290">
        <v>2018</v>
      </c>
      <c r="G290" t="s">
        <v>541</v>
      </c>
    </row>
    <row r="291" spans="1:7" x14ac:dyDescent="0.3">
      <c r="A291" t="s">
        <v>200</v>
      </c>
      <c r="B291" s="1">
        <v>43228</v>
      </c>
      <c r="C291" t="s">
        <v>811</v>
      </c>
      <c r="D291" t="s">
        <v>661</v>
      </c>
      <c r="E291" t="s">
        <v>661</v>
      </c>
      <c r="F291">
        <v>2018</v>
      </c>
      <c r="G291" t="s">
        <v>624</v>
      </c>
    </row>
    <row r="292" spans="1:7" x14ac:dyDescent="0.3">
      <c r="A292" t="s">
        <v>73</v>
      </c>
      <c r="B292" s="1">
        <v>43140</v>
      </c>
      <c r="C292" t="s">
        <v>812</v>
      </c>
      <c r="D292" t="s">
        <v>626</v>
      </c>
      <c r="E292" t="s">
        <v>627</v>
      </c>
      <c r="F292">
        <v>2018</v>
      </c>
      <c r="G292" t="s">
        <v>544</v>
      </c>
    </row>
    <row r="293" spans="1:7" x14ac:dyDescent="0.3">
      <c r="A293" t="s">
        <v>190</v>
      </c>
      <c r="B293" s="1">
        <v>43374</v>
      </c>
      <c r="C293" t="s">
        <v>813</v>
      </c>
      <c r="D293" t="s">
        <v>569</v>
      </c>
      <c r="E293" t="s">
        <v>576</v>
      </c>
      <c r="F293">
        <v>2018</v>
      </c>
      <c r="G293" t="s">
        <v>563</v>
      </c>
    </row>
    <row r="294" spans="1:7" x14ac:dyDescent="0.3">
      <c r="A294" t="s">
        <v>437</v>
      </c>
      <c r="B294" s="1">
        <v>43465</v>
      </c>
      <c r="C294" t="s">
        <v>674</v>
      </c>
      <c r="D294" t="s">
        <v>539</v>
      </c>
      <c r="E294" t="s">
        <v>620</v>
      </c>
      <c r="F294">
        <v>2018</v>
      </c>
      <c r="G294" t="s">
        <v>550</v>
      </c>
    </row>
    <row r="295" spans="1:7" x14ac:dyDescent="0.3">
      <c r="A295" t="s">
        <v>441</v>
      </c>
      <c r="B295" s="1">
        <v>43131</v>
      </c>
      <c r="C295" t="s">
        <v>814</v>
      </c>
      <c r="D295" t="s">
        <v>552</v>
      </c>
      <c r="E295" t="s">
        <v>553</v>
      </c>
      <c r="F295">
        <v>2018</v>
      </c>
      <c r="G295" t="s">
        <v>546</v>
      </c>
    </row>
    <row r="296" spans="1:7" x14ac:dyDescent="0.3">
      <c r="A296" t="s">
        <v>461</v>
      </c>
      <c r="B296" s="1">
        <v>43134</v>
      </c>
      <c r="C296" t="s">
        <v>815</v>
      </c>
      <c r="D296" t="s">
        <v>543</v>
      </c>
      <c r="E296" t="s">
        <v>543</v>
      </c>
      <c r="F296">
        <v>2018</v>
      </c>
      <c r="G296" t="s">
        <v>544</v>
      </c>
    </row>
    <row r="297" spans="1:7" x14ac:dyDescent="0.3">
      <c r="A297" t="s">
        <v>136</v>
      </c>
      <c r="B297" s="1">
        <v>43210</v>
      </c>
      <c r="C297" t="s">
        <v>559</v>
      </c>
      <c r="D297" t="s">
        <v>548</v>
      </c>
      <c r="E297" t="s">
        <v>558</v>
      </c>
      <c r="F297">
        <v>2018</v>
      </c>
      <c r="G297" t="s">
        <v>565</v>
      </c>
    </row>
    <row r="298" spans="1:7" x14ac:dyDescent="0.3">
      <c r="A298" t="s">
        <v>325</v>
      </c>
      <c r="B298" s="1">
        <v>43288</v>
      </c>
      <c r="C298" t="s">
        <v>816</v>
      </c>
      <c r="D298" t="s">
        <v>607</v>
      </c>
      <c r="E298" t="s">
        <v>649</v>
      </c>
      <c r="F298">
        <v>2018</v>
      </c>
      <c r="G298" t="s">
        <v>614</v>
      </c>
    </row>
    <row r="299" spans="1:7" x14ac:dyDescent="0.3">
      <c r="A299" t="s">
        <v>439</v>
      </c>
      <c r="B299" s="1">
        <v>43125</v>
      </c>
      <c r="C299" t="s">
        <v>817</v>
      </c>
      <c r="D299" t="s">
        <v>587</v>
      </c>
      <c r="E299" t="s">
        <v>652</v>
      </c>
      <c r="F299">
        <v>2018</v>
      </c>
      <c r="G299" t="s">
        <v>546</v>
      </c>
    </row>
    <row r="300" spans="1:7" x14ac:dyDescent="0.3">
      <c r="A300" t="s">
        <v>469</v>
      </c>
      <c r="B300" s="1">
        <v>43175</v>
      </c>
      <c r="C300" t="s">
        <v>818</v>
      </c>
      <c r="D300" t="s">
        <v>607</v>
      </c>
      <c r="E300" t="s">
        <v>649</v>
      </c>
      <c r="F300">
        <v>2018</v>
      </c>
      <c r="G300" t="s">
        <v>541</v>
      </c>
    </row>
    <row r="301" spans="1:7" x14ac:dyDescent="0.3">
      <c r="A301" t="s">
        <v>173</v>
      </c>
      <c r="B301" s="1">
        <v>43297</v>
      </c>
      <c r="C301" t="s">
        <v>819</v>
      </c>
      <c r="D301" t="s">
        <v>605</v>
      </c>
      <c r="E301" t="s">
        <v>588</v>
      </c>
      <c r="F301">
        <v>2018</v>
      </c>
      <c r="G301" t="s">
        <v>614</v>
      </c>
    </row>
    <row r="302" spans="1:7" x14ac:dyDescent="0.3">
      <c r="A302" t="s">
        <v>508</v>
      </c>
      <c r="B302" s="1">
        <v>43419</v>
      </c>
      <c r="C302" t="s">
        <v>820</v>
      </c>
      <c r="D302" t="s">
        <v>592</v>
      </c>
      <c r="E302" t="s">
        <v>593</v>
      </c>
      <c r="F302">
        <v>2018</v>
      </c>
      <c r="G302" t="s">
        <v>567</v>
      </c>
    </row>
    <row r="303" spans="1:7" x14ac:dyDescent="0.3">
      <c r="A303" t="s">
        <v>241</v>
      </c>
      <c r="B303" s="1">
        <v>43134</v>
      </c>
      <c r="C303" t="s">
        <v>821</v>
      </c>
      <c r="D303" t="s">
        <v>552</v>
      </c>
      <c r="E303" t="s">
        <v>553</v>
      </c>
      <c r="F303">
        <v>2018</v>
      </c>
      <c r="G303" t="s">
        <v>544</v>
      </c>
    </row>
    <row r="304" spans="1:7" x14ac:dyDescent="0.3">
      <c r="A304" t="s">
        <v>347</v>
      </c>
      <c r="B304" s="1">
        <v>43313</v>
      </c>
      <c r="C304" t="s">
        <v>715</v>
      </c>
      <c r="D304" t="s">
        <v>552</v>
      </c>
      <c r="E304" t="s">
        <v>553</v>
      </c>
      <c r="F304">
        <v>2018</v>
      </c>
      <c r="G304" t="s">
        <v>554</v>
      </c>
    </row>
    <row r="305" spans="1:7" x14ac:dyDescent="0.3">
      <c r="A305" t="s">
        <v>377</v>
      </c>
      <c r="B305" s="1">
        <v>43160</v>
      </c>
      <c r="C305" t="s">
        <v>710</v>
      </c>
      <c r="D305" t="s">
        <v>711</v>
      </c>
      <c r="E305" t="s">
        <v>712</v>
      </c>
      <c r="F305">
        <v>2018</v>
      </c>
      <c r="G305" t="s">
        <v>541</v>
      </c>
    </row>
    <row r="306" spans="1:7" x14ac:dyDescent="0.3">
      <c r="A306" t="s">
        <v>82</v>
      </c>
      <c r="B306" s="1">
        <v>43127</v>
      </c>
      <c r="C306" t="s">
        <v>781</v>
      </c>
      <c r="D306" t="s">
        <v>569</v>
      </c>
      <c r="E306" t="s">
        <v>570</v>
      </c>
      <c r="F306">
        <v>2018</v>
      </c>
      <c r="G306" t="s">
        <v>546</v>
      </c>
    </row>
    <row r="307" spans="1:7" x14ac:dyDescent="0.3">
      <c r="A307" t="s">
        <v>458</v>
      </c>
      <c r="B307" s="1">
        <v>43446</v>
      </c>
      <c r="C307" t="s">
        <v>822</v>
      </c>
      <c r="D307" t="s">
        <v>543</v>
      </c>
      <c r="E307" t="s">
        <v>543</v>
      </c>
      <c r="F307">
        <v>2018</v>
      </c>
      <c r="G307" t="s">
        <v>550</v>
      </c>
    </row>
    <row r="308" spans="1:7" x14ac:dyDescent="0.3">
      <c r="A308" t="s">
        <v>447</v>
      </c>
      <c r="B308" s="1">
        <v>43107</v>
      </c>
      <c r="C308" t="s">
        <v>823</v>
      </c>
      <c r="D308" t="s">
        <v>596</v>
      </c>
      <c r="E308" t="s">
        <v>597</v>
      </c>
      <c r="F308">
        <v>2018</v>
      </c>
      <c r="G308" t="s">
        <v>546</v>
      </c>
    </row>
    <row r="309" spans="1:7" x14ac:dyDescent="0.3">
      <c r="A309" t="s">
        <v>487</v>
      </c>
      <c r="B309" s="1">
        <v>43367</v>
      </c>
      <c r="C309" t="s">
        <v>808</v>
      </c>
      <c r="D309" t="s">
        <v>581</v>
      </c>
      <c r="E309" t="s">
        <v>582</v>
      </c>
      <c r="F309">
        <v>2018</v>
      </c>
      <c r="G309" t="s">
        <v>583</v>
      </c>
    </row>
    <row r="310" spans="1:7" x14ac:dyDescent="0.3">
      <c r="A310" t="s">
        <v>457</v>
      </c>
      <c r="B310" s="1">
        <v>43158</v>
      </c>
      <c r="C310" t="s">
        <v>824</v>
      </c>
      <c r="D310" t="s">
        <v>605</v>
      </c>
      <c r="E310" t="s">
        <v>588</v>
      </c>
      <c r="F310">
        <v>2018</v>
      </c>
      <c r="G310" t="s">
        <v>544</v>
      </c>
    </row>
    <row r="311" spans="1:7" x14ac:dyDescent="0.3">
      <c r="A311" t="s">
        <v>526</v>
      </c>
      <c r="B311" s="1">
        <v>43269</v>
      </c>
      <c r="C311" t="s">
        <v>825</v>
      </c>
      <c r="D311" t="s">
        <v>632</v>
      </c>
      <c r="E311" t="s">
        <v>633</v>
      </c>
      <c r="F311">
        <v>2018</v>
      </c>
      <c r="G311" t="s">
        <v>585</v>
      </c>
    </row>
    <row r="312" spans="1:7" x14ac:dyDescent="0.3">
      <c r="A312" t="s">
        <v>150</v>
      </c>
      <c r="B312" s="1">
        <v>43118</v>
      </c>
      <c r="C312" t="s">
        <v>674</v>
      </c>
      <c r="D312" t="s">
        <v>561</v>
      </c>
      <c r="E312" t="s">
        <v>562</v>
      </c>
      <c r="F312">
        <v>2018</v>
      </c>
      <c r="G312" t="s">
        <v>546</v>
      </c>
    </row>
    <row r="313" spans="1:7" x14ac:dyDescent="0.3">
      <c r="A313" t="s">
        <v>506</v>
      </c>
      <c r="B313" s="1">
        <v>43154</v>
      </c>
      <c r="C313" t="s">
        <v>690</v>
      </c>
      <c r="D313" t="s">
        <v>552</v>
      </c>
      <c r="E313" t="s">
        <v>553</v>
      </c>
      <c r="F313">
        <v>2018</v>
      </c>
      <c r="G313" t="s">
        <v>544</v>
      </c>
    </row>
    <row r="314" spans="1:7" x14ac:dyDescent="0.3">
      <c r="A314" t="s">
        <v>172</v>
      </c>
      <c r="B314" s="1">
        <v>43459</v>
      </c>
      <c r="C314" t="s">
        <v>826</v>
      </c>
      <c r="D314" t="s">
        <v>587</v>
      </c>
      <c r="E314" t="s">
        <v>652</v>
      </c>
      <c r="F314">
        <v>2018</v>
      </c>
      <c r="G314" t="s">
        <v>550</v>
      </c>
    </row>
    <row r="315" spans="1:7" x14ac:dyDescent="0.3">
      <c r="A315" t="s">
        <v>397</v>
      </c>
      <c r="B315" s="1">
        <v>43110</v>
      </c>
      <c r="C315" t="s">
        <v>827</v>
      </c>
      <c r="D315" t="s">
        <v>548</v>
      </c>
      <c r="E315" t="s">
        <v>558</v>
      </c>
      <c r="F315">
        <v>2018</v>
      </c>
      <c r="G315" t="s">
        <v>546</v>
      </c>
    </row>
    <row r="316" spans="1:7" x14ac:dyDescent="0.3">
      <c r="A316" t="s">
        <v>168</v>
      </c>
      <c r="B316" s="1">
        <v>43300</v>
      </c>
      <c r="C316" t="s">
        <v>616</v>
      </c>
      <c r="D316" t="s">
        <v>552</v>
      </c>
      <c r="E316" t="s">
        <v>553</v>
      </c>
      <c r="F316">
        <v>2018</v>
      </c>
      <c r="G316" t="s">
        <v>614</v>
      </c>
    </row>
    <row r="317" spans="1:7" x14ac:dyDescent="0.3">
      <c r="A317" t="s">
        <v>484</v>
      </c>
      <c r="B317" s="1">
        <v>43150</v>
      </c>
      <c r="C317" t="s">
        <v>749</v>
      </c>
      <c r="D317" t="s">
        <v>581</v>
      </c>
      <c r="E317" t="s">
        <v>582</v>
      </c>
      <c r="F317">
        <v>2018</v>
      </c>
      <c r="G317" t="s">
        <v>544</v>
      </c>
    </row>
    <row r="318" spans="1:7" x14ac:dyDescent="0.3">
      <c r="A318" t="s">
        <v>504</v>
      </c>
      <c r="B318" s="1">
        <v>43269</v>
      </c>
      <c r="C318" t="s">
        <v>828</v>
      </c>
      <c r="D318" t="s">
        <v>607</v>
      </c>
      <c r="E318" t="s">
        <v>649</v>
      </c>
      <c r="F318">
        <v>2018</v>
      </c>
      <c r="G318" t="s">
        <v>585</v>
      </c>
    </row>
    <row r="319" spans="1:7" x14ac:dyDescent="0.3">
      <c r="A319" t="s">
        <v>422</v>
      </c>
      <c r="B319" s="1">
        <v>43241</v>
      </c>
      <c r="C319" t="s">
        <v>829</v>
      </c>
      <c r="D319" t="s">
        <v>592</v>
      </c>
      <c r="E319" t="s">
        <v>593</v>
      </c>
      <c r="F319">
        <v>2018</v>
      </c>
      <c r="G319" t="s">
        <v>624</v>
      </c>
    </row>
    <row r="320" spans="1:7" x14ac:dyDescent="0.3">
      <c r="A320" t="s">
        <v>310</v>
      </c>
      <c r="B320" s="1">
        <v>43139</v>
      </c>
      <c r="C320" t="s">
        <v>830</v>
      </c>
      <c r="D320" t="s">
        <v>607</v>
      </c>
      <c r="E320" t="s">
        <v>649</v>
      </c>
      <c r="F320">
        <v>2018</v>
      </c>
      <c r="G320" t="s">
        <v>544</v>
      </c>
    </row>
    <row r="321" spans="1:7" x14ac:dyDescent="0.3">
      <c r="A321" t="s">
        <v>165</v>
      </c>
      <c r="B321" s="1">
        <v>43201</v>
      </c>
      <c r="C321" t="s">
        <v>810</v>
      </c>
      <c r="D321" t="s">
        <v>592</v>
      </c>
      <c r="E321" t="s">
        <v>593</v>
      </c>
      <c r="F321">
        <v>2018</v>
      </c>
      <c r="G321" t="s">
        <v>565</v>
      </c>
    </row>
    <row r="322" spans="1:7" x14ac:dyDescent="0.3">
      <c r="A322" t="s">
        <v>290</v>
      </c>
      <c r="B322" s="1">
        <v>43444</v>
      </c>
      <c r="C322" t="s">
        <v>831</v>
      </c>
      <c r="D322" t="s">
        <v>569</v>
      </c>
      <c r="E322" t="s">
        <v>570</v>
      </c>
      <c r="F322">
        <v>2018</v>
      </c>
      <c r="G322" t="s">
        <v>550</v>
      </c>
    </row>
    <row r="323" spans="1:7" x14ac:dyDescent="0.3">
      <c r="A323" t="s">
        <v>284</v>
      </c>
      <c r="B323" s="1">
        <v>43212</v>
      </c>
      <c r="C323" t="s">
        <v>694</v>
      </c>
      <c r="D323" t="s">
        <v>632</v>
      </c>
      <c r="E323" t="s">
        <v>633</v>
      </c>
      <c r="F323">
        <v>2018</v>
      </c>
      <c r="G323" t="s">
        <v>565</v>
      </c>
    </row>
    <row r="324" spans="1:7" x14ac:dyDescent="0.3">
      <c r="A324" t="s">
        <v>425</v>
      </c>
      <c r="B324" s="1">
        <v>43289</v>
      </c>
      <c r="C324" t="s">
        <v>832</v>
      </c>
      <c r="D324" t="s">
        <v>632</v>
      </c>
      <c r="E324" t="s">
        <v>633</v>
      </c>
      <c r="F324">
        <v>2018</v>
      </c>
      <c r="G324" t="s">
        <v>614</v>
      </c>
    </row>
    <row r="325" spans="1:7" x14ac:dyDescent="0.3">
      <c r="A325" t="s">
        <v>406</v>
      </c>
      <c r="B325" s="1">
        <v>43186</v>
      </c>
      <c r="C325" t="s">
        <v>646</v>
      </c>
      <c r="D325" t="s">
        <v>561</v>
      </c>
      <c r="E325" t="s">
        <v>562</v>
      </c>
      <c r="F325">
        <v>2018</v>
      </c>
      <c r="G325" t="s">
        <v>541</v>
      </c>
    </row>
    <row r="326" spans="1:7" x14ac:dyDescent="0.3">
      <c r="A326" t="s">
        <v>278</v>
      </c>
      <c r="B326" s="1">
        <v>43193</v>
      </c>
      <c r="C326" t="s">
        <v>764</v>
      </c>
      <c r="D326" t="s">
        <v>607</v>
      </c>
      <c r="E326" t="s">
        <v>649</v>
      </c>
      <c r="F326">
        <v>2018</v>
      </c>
      <c r="G326" t="s">
        <v>565</v>
      </c>
    </row>
    <row r="327" spans="1:7" x14ac:dyDescent="0.3">
      <c r="A327" t="s">
        <v>388</v>
      </c>
      <c r="B327" s="1">
        <v>43396</v>
      </c>
      <c r="C327" t="s">
        <v>616</v>
      </c>
      <c r="D327" t="s">
        <v>552</v>
      </c>
      <c r="E327" t="s">
        <v>553</v>
      </c>
      <c r="F327">
        <v>2018</v>
      </c>
      <c r="G327" t="s">
        <v>563</v>
      </c>
    </row>
    <row r="328" spans="1:7" x14ac:dyDescent="0.3">
      <c r="A328" t="s">
        <v>231</v>
      </c>
      <c r="B328" s="1">
        <v>43402</v>
      </c>
      <c r="C328" t="s">
        <v>833</v>
      </c>
      <c r="D328" t="s">
        <v>569</v>
      </c>
      <c r="E328" t="s">
        <v>576</v>
      </c>
      <c r="F328">
        <v>2018</v>
      </c>
      <c r="G328" t="s">
        <v>563</v>
      </c>
    </row>
    <row r="329" spans="1:7" x14ac:dyDescent="0.3">
      <c r="A329" t="s">
        <v>220</v>
      </c>
      <c r="B329" s="1">
        <v>43150</v>
      </c>
      <c r="C329" t="s">
        <v>834</v>
      </c>
      <c r="D329" t="s">
        <v>711</v>
      </c>
      <c r="E329" t="s">
        <v>712</v>
      </c>
      <c r="F329">
        <v>2018</v>
      </c>
      <c r="G329" t="s">
        <v>544</v>
      </c>
    </row>
    <row r="330" spans="1:7" x14ac:dyDescent="0.3">
      <c r="A330" t="s">
        <v>130</v>
      </c>
      <c r="B330" s="1">
        <v>43382</v>
      </c>
      <c r="C330" t="s">
        <v>835</v>
      </c>
      <c r="D330" t="s">
        <v>592</v>
      </c>
      <c r="E330" t="s">
        <v>593</v>
      </c>
      <c r="F330">
        <v>2018</v>
      </c>
      <c r="G330" t="s">
        <v>563</v>
      </c>
    </row>
    <row r="331" spans="1:7" x14ac:dyDescent="0.3">
      <c r="A331" t="s">
        <v>488</v>
      </c>
      <c r="B331" s="1">
        <v>43445</v>
      </c>
      <c r="C331" t="s">
        <v>836</v>
      </c>
      <c r="D331" t="s">
        <v>543</v>
      </c>
      <c r="E331" t="s">
        <v>543</v>
      </c>
      <c r="F331">
        <v>2018</v>
      </c>
      <c r="G331" t="s">
        <v>550</v>
      </c>
    </row>
    <row r="332" spans="1:7" x14ac:dyDescent="0.3">
      <c r="A332" t="s">
        <v>390</v>
      </c>
      <c r="B332" s="1">
        <v>43113</v>
      </c>
      <c r="C332" t="s">
        <v>837</v>
      </c>
      <c r="D332" t="s">
        <v>548</v>
      </c>
      <c r="E332" t="s">
        <v>558</v>
      </c>
      <c r="F332">
        <v>2018</v>
      </c>
      <c r="G332" t="s">
        <v>546</v>
      </c>
    </row>
    <row r="333" spans="1:7" x14ac:dyDescent="0.3">
      <c r="A333" t="s">
        <v>489</v>
      </c>
      <c r="B333" s="1">
        <v>43186</v>
      </c>
      <c r="C333" t="s">
        <v>782</v>
      </c>
      <c r="D333" t="s">
        <v>552</v>
      </c>
      <c r="E333" t="s">
        <v>590</v>
      </c>
      <c r="F333">
        <v>2018</v>
      </c>
      <c r="G333" t="s">
        <v>541</v>
      </c>
    </row>
    <row r="334" spans="1:7" x14ac:dyDescent="0.3">
      <c r="A334" t="s">
        <v>306</v>
      </c>
      <c r="B334" s="1">
        <v>43113</v>
      </c>
      <c r="C334" t="s">
        <v>838</v>
      </c>
      <c r="D334" t="s">
        <v>548</v>
      </c>
      <c r="E334" t="s">
        <v>549</v>
      </c>
      <c r="F334">
        <v>2018</v>
      </c>
      <c r="G334" t="s">
        <v>546</v>
      </c>
    </row>
    <row r="335" spans="1:7" x14ac:dyDescent="0.3">
      <c r="A335" t="s">
        <v>214</v>
      </c>
      <c r="B335" s="1">
        <v>43138</v>
      </c>
      <c r="C335" t="s">
        <v>839</v>
      </c>
      <c r="D335" t="s">
        <v>543</v>
      </c>
      <c r="E335" t="s">
        <v>543</v>
      </c>
      <c r="F335">
        <v>2018</v>
      </c>
      <c r="G335" t="s">
        <v>544</v>
      </c>
    </row>
    <row r="336" spans="1:7" x14ac:dyDescent="0.3">
      <c r="A336" t="s">
        <v>403</v>
      </c>
      <c r="B336" s="1">
        <v>43345</v>
      </c>
      <c r="C336" t="s">
        <v>840</v>
      </c>
      <c r="D336" t="s">
        <v>539</v>
      </c>
      <c r="E336" t="s">
        <v>620</v>
      </c>
      <c r="F336">
        <v>2018</v>
      </c>
      <c r="G336" t="s">
        <v>583</v>
      </c>
    </row>
    <row r="337" spans="1:7" x14ac:dyDescent="0.3">
      <c r="A337" t="s">
        <v>507</v>
      </c>
      <c r="B337" s="1">
        <v>43235</v>
      </c>
      <c r="C337" t="s">
        <v>841</v>
      </c>
      <c r="D337" t="s">
        <v>632</v>
      </c>
      <c r="E337" t="s">
        <v>633</v>
      </c>
      <c r="F337">
        <v>2018</v>
      </c>
      <c r="G337" t="s">
        <v>624</v>
      </c>
    </row>
    <row r="338" spans="1:7" x14ac:dyDescent="0.3">
      <c r="A338" t="s">
        <v>305</v>
      </c>
      <c r="B338" s="1">
        <v>43462</v>
      </c>
      <c r="C338" t="s">
        <v>842</v>
      </c>
      <c r="D338" t="s">
        <v>610</v>
      </c>
      <c r="E338" t="s">
        <v>611</v>
      </c>
      <c r="F338">
        <v>2018</v>
      </c>
      <c r="G338" t="s">
        <v>550</v>
      </c>
    </row>
    <row r="339" spans="1:7" x14ac:dyDescent="0.3">
      <c r="A339" t="s">
        <v>210</v>
      </c>
      <c r="B339" s="1">
        <v>43431</v>
      </c>
      <c r="C339" t="s">
        <v>843</v>
      </c>
      <c r="D339" t="s">
        <v>569</v>
      </c>
      <c r="E339" t="s">
        <v>570</v>
      </c>
      <c r="F339">
        <v>2018</v>
      </c>
      <c r="G339" t="s">
        <v>567</v>
      </c>
    </row>
    <row r="340" spans="1:7" x14ac:dyDescent="0.3">
      <c r="A340" t="s">
        <v>248</v>
      </c>
      <c r="B340" s="1">
        <v>43112</v>
      </c>
      <c r="C340" t="s">
        <v>844</v>
      </c>
      <c r="D340" t="s">
        <v>561</v>
      </c>
      <c r="E340" t="s">
        <v>562</v>
      </c>
      <c r="F340">
        <v>2018</v>
      </c>
      <c r="G340" t="s">
        <v>546</v>
      </c>
    </row>
    <row r="341" spans="1:7" x14ac:dyDescent="0.3">
      <c r="A341" t="s">
        <v>467</v>
      </c>
      <c r="B341" s="1">
        <v>43175</v>
      </c>
      <c r="C341" t="s">
        <v>765</v>
      </c>
      <c r="D341" t="s">
        <v>552</v>
      </c>
      <c r="E341" t="s">
        <v>553</v>
      </c>
      <c r="F341">
        <v>2018</v>
      </c>
      <c r="G341" t="s">
        <v>541</v>
      </c>
    </row>
    <row r="342" spans="1:7" x14ac:dyDescent="0.3">
      <c r="A342" t="s">
        <v>127</v>
      </c>
      <c r="B342" s="1">
        <v>43183</v>
      </c>
      <c r="C342" t="s">
        <v>572</v>
      </c>
      <c r="D342" t="s">
        <v>578</v>
      </c>
      <c r="E342" t="s">
        <v>579</v>
      </c>
      <c r="F342">
        <v>2018</v>
      </c>
      <c r="G342" t="s">
        <v>541</v>
      </c>
    </row>
    <row r="343" spans="1:7" x14ac:dyDescent="0.3">
      <c r="A343" t="s">
        <v>204</v>
      </c>
      <c r="B343" s="1">
        <v>43301</v>
      </c>
      <c r="C343" t="s">
        <v>845</v>
      </c>
      <c r="D343" t="s">
        <v>596</v>
      </c>
      <c r="E343" t="s">
        <v>597</v>
      </c>
      <c r="F343">
        <v>2018</v>
      </c>
      <c r="G343" t="s">
        <v>614</v>
      </c>
    </row>
    <row r="344" spans="1:7" x14ac:dyDescent="0.3">
      <c r="A344" t="s">
        <v>151</v>
      </c>
      <c r="B344" s="1">
        <v>43214</v>
      </c>
      <c r="C344" t="s">
        <v>688</v>
      </c>
      <c r="D344" t="s">
        <v>587</v>
      </c>
      <c r="E344" t="s">
        <v>588</v>
      </c>
      <c r="F344">
        <v>2018</v>
      </c>
      <c r="G344" t="s">
        <v>565</v>
      </c>
    </row>
    <row r="345" spans="1:7" x14ac:dyDescent="0.3">
      <c r="A345" t="s">
        <v>72</v>
      </c>
      <c r="B345" s="1">
        <v>43248</v>
      </c>
      <c r="C345" t="s">
        <v>846</v>
      </c>
      <c r="D345" t="s">
        <v>569</v>
      </c>
      <c r="E345" t="s">
        <v>576</v>
      </c>
      <c r="F345">
        <v>2018</v>
      </c>
      <c r="G345" t="s">
        <v>624</v>
      </c>
    </row>
    <row r="346" spans="1:7" x14ac:dyDescent="0.3">
      <c r="A346" t="s">
        <v>502</v>
      </c>
      <c r="B346" s="1">
        <v>43268</v>
      </c>
      <c r="C346" t="s">
        <v>847</v>
      </c>
      <c r="D346" t="s">
        <v>552</v>
      </c>
      <c r="E346" t="s">
        <v>553</v>
      </c>
      <c r="F346">
        <v>2018</v>
      </c>
      <c r="G346" t="s">
        <v>585</v>
      </c>
    </row>
    <row r="347" spans="1:7" x14ac:dyDescent="0.3">
      <c r="A347" t="s">
        <v>400</v>
      </c>
      <c r="B347" s="1">
        <v>43134</v>
      </c>
      <c r="C347" t="s">
        <v>575</v>
      </c>
      <c r="D347" t="s">
        <v>607</v>
      </c>
      <c r="E347" t="s">
        <v>608</v>
      </c>
      <c r="F347">
        <v>2018</v>
      </c>
      <c r="G347" t="s">
        <v>544</v>
      </c>
    </row>
    <row r="348" spans="1:7" x14ac:dyDescent="0.3">
      <c r="A348" t="s">
        <v>381</v>
      </c>
      <c r="B348" s="1">
        <v>43341</v>
      </c>
      <c r="C348" t="s">
        <v>848</v>
      </c>
      <c r="D348" t="s">
        <v>552</v>
      </c>
      <c r="E348" t="s">
        <v>590</v>
      </c>
      <c r="F348">
        <v>2018</v>
      </c>
      <c r="G348" t="s">
        <v>554</v>
      </c>
    </row>
    <row r="349" spans="1:7" x14ac:dyDescent="0.3">
      <c r="A349" t="s">
        <v>395</v>
      </c>
      <c r="B349" s="1">
        <v>43438</v>
      </c>
      <c r="C349" t="s">
        <v>664</v>
      </c>
      <c r="D349" t="s">
        <v>607</v>
      </c>
      <c r="E349" t="s">
        <v>608</v>
      </c>
      <c r="F349">
        <v>2018</v>
      </c>
      <c r="G349" t="s">
        <v>550</v>
      </c>
    </row>
    <row r="350" spans="1:7" x14ac:dyDescent="0.3">
      <c r="A350" t="s">
        <v>97</v>
      </c>
      <c r="B350" s="1">
        <v>43185</v>
      </c>
      <c r="C350" t="s">
        <v>801</v>
      </c>
      <c r="D350" t="s">
        <v>661</v>
      </c>
      <c r="E350" t="s">
        <v>661</v>
      </c>
      <c r="F350">
        <v>2018</v>
      </c>
      <c r="G350" t="s">
        <v>541</v>
      </c>
    </row>
    <row r="351" spans="1:7" x14ac:dyDescent="0.3">
      <c r="A351" t="s">
        <v>339</v>
      </c>
      <c r="B351" s="1">
        <v>43356</v>
      </c>
      <c r="C351" t="s">
        <v>849</v>
      </c>
      <c r="D351" t="s">
        <v>561</v>
      </c>
      <c r="E351" t="s">
        <v>562</v>
      </c>
      <c r="F351">
        <v>2018</v>
      </c>
      <c r="G351" t="s">
        <v>583</v>
      </c>
    </row>
    <row r="352" spans="1:7" x14ac:dyDescent="0.3">
      <c r="A352" t="s">
        <v>300</v>
      </c>
      <c r="B352" s="1">
        <v>43260</v>
      </c>
      <c r="C352" t="s">
        <v>850</v>
      </c>
      <c r="D352" t="s">
        <v>548</v>
      </c>
      <c r="E352" t="s">
        <v>549</v>
      </c>
      <c r="F352">
        <v>2018</v>
      </c>
      <c r="G352" t="s">
        <v>585</v>
      </c>
    </row>
    <row r="353" spans="1:7" x14ac:dyDescent="0.3">
      <c r="A353" t="s">
        <v>166</v>
      </c>
      <c r="B353" s="1">
        <v>43315</v>
      </c>
      <c r="C353" t="s">
        <v>851</v>
      </c>
      <c r="D353" t="s">
        <v>605</v>
      </c>
      <c r="E353" t="s">
        <v>588</v>
      </c>
      <c r="F353">
        <v>2018</v>
      </c>
      <c r="G353" t="s">
        <v>554</v>
      </c>
    </row>
    <row r="354" spans="1:7" x14ac:dyDescent="0.3">
      <c r="A354" t="s">
        <v>513</v>
      </c>
      <c r="B354" s="1">
        <v>43307</v>
      </c>
      <c r="C354" t="s">
        <v>852</v>
      </c>
      <c r="D354" t="s">
        <v>632</v>
      </c>
      <c r="E354" t="s">
        <v>633</v>
      </c>
      <c r="F354">
        <v>2018</v>
      </c>
      <c r="G354" t="s">
        <v>614</v>
      </c>
    </row>
    <row r="355" spans="1:7" x14ac:dyDescent="0.3">
      <c r="A355" t="s">
        <v>30</v>
      </c>
      <c r="B355" s="1">
        <v>43224</v>
      </c>
      <c r="C355" t="s">
        <v>808</v>
      </c>
      <c r="D355" t="s">
        <v>587</v>
      </c>
      <c r="E355" t="s">
        <v>588</v>
      </c>
      <c r="F355">
        <v>2018</v>
      </c>
      <c r="G355" t="s">
        <v>624</v>
      </c>
    </row>
    <row r="356" spans="1:7" x14ac:dyDescent="0.3">
      <c r="A356" t="s">
        <v>110</v>
      </c>
      <c r="B356" s="1">
        <v>43155</v>
      </c>
      <c r="C356" t="s">
        <v>584</v>
      </c>
      <c r="D356" t="s">
        <v>578</v>
      </c>
      <c r="E356" t="s">
        <v>579</v>
      </c>
      <c r="F356">
        <v>2018</v>
      </c>
      <c r="G356" t="s">
        <v>544</v>
      </c>
    </row>
    <row r="357" spans="1:7" x14ac:dyDescent="0.3">
      <c r="A357" t="s">
        <v>208</v>
      </c>
      <c r="B357" s="1">
        <v>43276</v>
      </c>
      <c r="C357" t="s">
        <v>853</v>
      </c>
      <c r="D357" t="s">
        <v>548</v>
      </c>
      <c r="E357" t="s">
        <v>549</v>
      </c>
      <c r="F357">
        <v>2018</v>
      </c>
      <c r="G357" t="s">
        <v>585</v>
      </c>
    </row>
    <row r="358" spans="1:7" x14ac:dyDescent="0.3">
      <c r="A358" t="s">
        <v>137</v>
      </c>
      <c r="B358" s="1">
        <v>43145</v>
      </c>
      <c r="C358" t="s">
        <v>736</v>
      </c>
      <c r="D358" t="s">
        <v>632</v>
      </c>
      <c r="E358" t="s">
        <v>633</v>
      </c>
      <c r="F358">
        <v>2018</v>
      </c>
      <c r="G358" t="s">
        <v>544</v>
      </c>
    </row>
    <row r="359" spans="1:7" x14ac:dyDescent="0.3">
      <c r="A359" t="s">
        <v>337</v>
      </c>
      <c r="B359" s="1">
        <v>43280</v>
      </c>
      <c r="C359" t="s">
        <v>854</v>
      </c>
      <c r="D359" t="s">
        <v>548</v>
      </c>
      <c r="E359" t="s">
        <v>549</v>
      </c>
      <c r="F359">
        <v>2018</v>
      </c>
      <c r="G359" t="s">
        <v>585</v>
      </c>
    </row>
    <row r="360" spans="1:7" x14ac:dyDescent="0.3">
      <c r="A360" t="s">
        <v>448</v>
      </c>
      <c r="B360" s="1">
        <v>43383</v>
      </c>
      <c r="C360" t="s">
        <v>855</v>
      </c>
      <c r="D360" t="s">
        <v>548</v>
      </c>
      <c r="E360" t="s">
        <v>549</v>
      </c>
      <c r="F360">
        <v>2018</v>
      </c>
      <c r="G360" t="s">
        <v>563</v>
      </c>
    </row>
    <row r="361" spans="1:7" x14ac:dyDescent="0.3">
      <c r="A361" t="s">
        <v>75</v>
      </c>
      <c r="B361" s="1">
        <v>43389</v>
      </c>
      <c r="C361" t="s">
        <v>695</v>
      </c>
      <c r="D361" t="s">
        <v>632</v>
      </c>
      <c r="E361" t="s">
        <v>633</v>
      </c>
      <c r="F361">
        <v>2018</v>
      </c>
      <c r="G361" t="s">
        <v>563</v>
      </c>
    </row>
    <row r="362" spans="1:7" x14ac:dyDescent="0.3">
      <c r="A362" t="s">
        <v>474</v>
      </c>
      <c r="B362" s="1">
        <v>43428</v>
      </c>
      <c r="C362" t="s">
        <v>728</v>
      </c>
      <c r="D362" t="s">
        <v>607</v>
      </c>
      <c r="E362" t="s">
        <v>608</v>
      </c>
      <c r="F362">
        <v>2018</v>
      </c>
      <c r="G362" t="s">
        <v>567</v>
      </c>
    </row>
    <row r="363" spans="1:7" x14ac:dyDescent="0.3">
      <c r="A363" t="s">
        <v>386</v>
      </c>
      <c r="B363" s="1">
        <v>43244</v>
      </c>
      <c r="C363" t="s">
        <v>704</v>
      </c>
      <c r="D363" t="s">
        <v>581</v>
      </c>
      <c r="E363" t="s">
        <v>582</v>
      </c>
      <c r="F363">
        <v>2018</v>
      </c>
      <c r="G363" t="s">
        <v>624</v>
      </c>
    </row>
    <row r="364" spans="1:7" x14ac:dyDescent="0.3">
      <c r="A364" t="s">
        <v>356</v>
      </c>
      <c r="B364" s="1">
        <v>43374</v>
      </c>
      <c r="C364" t="s">
        <v>856</v>
      </c>
      <c r="D364" t="s">
        <v>548</v>
      </c>
      <c r="E364" t="s">
        <v>558</v>
      </c>
      <c r="F364">
        <v>2018</v>
      </c>
      <c r="G364" t="s">
        <v>563</v>
      </c>
    </row>
    <row r="365" spans="1:7" x14ac:dyDescent="0.3">
      <c r="A365" t="s">
        <v>116</v>
      </c>
      <c r="B365" s="1">
        <v>43101</v>
      </c>
      <c r="C365" t="s">
        <v>857</v>
      </c>
      <c r="D365" t="s">
        <v>578</v>
      </c>
      <c r="E365" t="s">
        <v>579</v>
      </c>
      <c r="F365">
        <v>2018</v>
      </c>
      <c r="G365" t="s">
        <v>546</v>
      </c>
    </row>
    <row r="366" spans="1:7" x14ac:dyDescent="0.3">
      <c r="A366" t="s">
        <v>128</v>
      </c>
      <c r="B366" s="1">
        <v>43148</v>
      </c>
      <c r="C366" t="s">
        <v>810</v>
      </c>
      <c r="D366" t="s">
        <v>592</v>
      </c>
      <c r="E366" t="s">
        <v>593</v>
      </c>
      <c r="F366">
        <v>2018</v>
      </c>
      <c r="G366" t="s">
        <v>544</v>
      </c>
    </row>
    <row r="367" spans="1:7" x14ac:dyDescent="0.3">
      <c r="A367" t="s">
        <v>218</v>
      </c>
      <c r="B367" s="1">
        <v>43175</v>
      </c>
      <c r="C367" t="s">
        <v>858</v>
      </c>
      <c r="D367" t="s">
        <v>548</v>
      </c>
      <c r="E367" t="s">
        <v>549</v>
      </c>
      <c r="F367">
        <v>2018</v>
      </c>
      <c r="G367" t="s">
        <v>541</v>
      </c>
    </row>
    <row r="368" spans="1:7" x14ac:dyDescent="0.3">
      <c r="A368" t="s">
        <v>443</v>
      </c>
      <c r="B368" s="1">
        <v>43430</v>
      </c>
      <c r="C368" t="s">
        <v>859</v>
      </c>
      <c r="D368" t="s">
        <v>587</v>
      </c>
      <c r="E368" t="s">
        <v>652</v>
      </c>
      <c r="F368">
        <v>2018</v>
      </c>
      <c r="G368" t="s">
        <v>567</v>
      </c>
    </row>
    <row r="369" spans="1:7" x14ac:dyDescent="0.3">
      <c r="A369" t="s">
        <v>230</v>
      </c>
      <c r="B369" s="1">
        <v>43438</v>
      </c>
      <c r="C369" t="s">
        <v>860</v>
      </c>
      <c r="D369" t="s">
        <v>552</v>
      </c>
      <c r="E369" t="s">
        <v>553</v>
      </c>
      <c r="F369">
        <v>2018</v>
      </c>
      <c r="G369" t="s">
        <v>550</v>
      </c>
    </row>
    <row r="370" spans="1:7" x14ac:dyDescent="0.3">
      <c r="A370" t="s">
        <v>83</v>
      </c>
      <c r="B370" s="1">
        <v>43389</v>
      </c>
      <c r="C370" t="s">
        <v>861</v>
      </c>
      <c r="D370" t="s">
        <v>607</v>
      </c>
      <c r="E370" t="s">
        <v>649</v>
      </c>
      <c r="F370">
        <v>2018</v>
      </c>
      <c r="G370" t="s">
        <v>563</v>
      </c>
    </row>
    <row r="371" spans="1:7" x14ac:dyDescent="0.3">
      <c r="A371" t="s">
        <v>117</v>
      </c>
      <c r="B371" s="1">
        <v>43437</v>
      </c>
      <c r="C371" t="s">
        <v>677</v>
      </c>
      <c r="D371" t="s">
        <v>569</v>
      </c>
      <c r="E371" t="s">
        <v>570</v>
      </c>
      <c r="F371">
        <v>2018</v>
      </c>
      <c r="G371" t="s">
        <v>550</v>
      </c>
    </row>
    <row r="372" spans="1:7" x14ac:dyDescent="0.3">
      <c r="A372" t="s">
        <v>446</v>
      </c>
      <c r="B372" s="1">
        <v>43425</v>
      </c>
      <c r="C372" t="s">
        <v>862</v>
      </c>
      <c r="D372" t="s">
        <v>569</v>
      </c>
      <c r="E372" t="s">
        <v>570</v>
      </c>
      <c r="F372">
        <v>2018</v>
      </c>
      <c r="G372" t="s">
        <v>567</v>
      </c>
    </row>
    <row r="373" spans="1:7" x14ac:dyDescent="0.3">
      <c r="A373" t="s">
        <v>380</v>
      </c>
      <c r="B373" s="1">
        <v>43216</v>
      </c>
      <c r="C373" t="s">
        <v>863</v>
      </c>
      <c r="D373" t="s">
        <v>552</v>
      </c>
      <c r="E373" t="s">
        <v>553</v>
      </c>
      <c r="F373">
        <v>2018</v>
      </c>
      <c r="G373" t="s">
        <v>565</v>
      </c>
    </row>
    <row r="374" spans="1:7" x14ac:dyDescent="0.3">
      <c r="A374" t="s">
        <v>358</v>
      </c>
      <c r="B374" s="1">
        <v>43205</v>
      </c>
      <c r="C374" t="s">
        <v>801</v>
      </c>
      <c r="D374" t="s">
        <v>661</v>
      </c>
      <c r="E374" t="s">
        <v>661</v>
      </c>
      <c r="F374">
        <v>2018</v>
      </c>
      <c r="G374" t="s">
        <v>565</v>
      </c>
    </row>
    <row r="375" spans="1:7" x14ac:dyDescent="0.3">
      <c r="A375" t="s">
        <v>304</v>
      </c>
      <c r="B375" s="1">
        <v>43123</v>
      </c>
      <c r="C375" t="s">
        <v>864</v>
      </c>
      <c r="D375" t="s">
        <v>607</v>
      </c>
      <c r="E375" t="s">
        <v>608</v>
      </c>
      <c r="F375">
        <v>2018</v>
      </c>
      <c r="G375" t="s">
        <v>546</v>
      </c>
    </row>
    <row r="376" spans="1:7" x14ac:dyDescent="0.3">
      <c r="A376" t="s">
        <v>274</v>
      </c>
      <c r="B376" s="1">
        <v>43378</v>
      </c>
      <c r="C376" t="s">
        <v>663</v>
      </c>
      <c r="D376" t="s">
        <v>548</v>
      </c>
      <c r="E376" t="s">
        <v>549</v>
      </c>
      <c r="F376">
        <v>2018</v>
      </c>
      <c r="G376" t="s">
        <v>563</v>
      </c>
    </row>
    <row r="377" spans="1:7" x14ac:dyDescent="0.3">
      <c r="A377" t="s">
        <v>391</v>
      </c>
      <c r="B377" s="1">
        <v>43419</v>
      </c>
      <c r="C377" t="s">
        <v>787</v>
      </c>
      <c r="D377" t="s">
        <v>626</v>
      </c>
      <c r="E377" t="s">
        <v>627</v>
      </c>
      <c r="F377">
        <v>2018</v>
      </c>
      <c r="G377" t="s">
        <v>567</v>
      </c>
    </row>
    <row r="378" spans="1:7" x14ac:dyDescent="0.3">
      <c r="A378" t="s">
        <v>486</v>
      </c>
      <c r="B378" s="1">
        <v>43181</v>
      </c>
      <c r="C378" t="s">
        <v>865</v>
      </c>
      <c r="D378" t="s">
        <v>641</v>
      </c>
      <c r="E378" t="s">
        <v>642</v>
      </c>
      <c r="F378">
        <v>2018</v>
      </c>
      <c r="G378" t="s">
        <v>541</v>
      </c>
    </row>
    <row r="379" spans="1:7" x14ac:dyDescent="0.3">
      <c r="A379" t="s">
        <v>107</v>
      </c>
      <c r="B379" s="1">
        <v>43380</v>
      </c>
      <c r="C379" t="s">
        <v>866</v>
      </c>
      <c r="D379" t="s">
        <v>539</v>
      </c>
      <c r="E379" t="s">
        <v>620</v>
      </c>
      <c r="F379">
        <v>2018</v>
      </c>
      <c r="G379" t="s">
        <v>563</v>
      </c>
    </row>
    <row r="380" spans="1:7" x14ac:dyDescent="0.3">
      <c r="A380" t="s">
        <v>346</v>
      </c>
      <c r="B380" s="1">
        <v>43310</v>
      </c>
      <c r="C380" t="s">
        <v>687</v>
      </c>
      <c r="D380" t="s">
        <v>552</v>
      </c>
      <c r="E380" t="s">
        <v>553</v>
      </c>
      <c r="F380">
        <v>2018</v>
      </c>
      <c r="G380" t="s">
        <v>614</v>
      </c>
    </row>
    <row r="381" spans="1:7" x14ac:dyDescent="0.3">
      <c r="A381" t="s">
        <v>296</v>
      </c>
      <c r="B381" s="1">
        <v>43428</v>
      </c>
      <c r="C381" t="s">
        <v>867</v>
      </c>
      <c r="D381" t="s">
        <v>607</v>
      </c>
      <c r="E381" t="s">
        <v>608</v>
      </c>
      <c r="F381">
        <v>2018</v>
      </c>
      <c r="G381" t="s">
        <v>567</v>
      </c>
    </row>
    <row r="382" spans="1:7" x14ac:dyDescent="0.3">
      <c r="A382" t="s">
        <v>485</v>
      </c>
      <c r="B382" s="1">
        <v>43104</v>
      </c>
      <c r="C382" t="s">
        <v>868</v>
      </c>
      <c r="D382" t="s">
        <v>552</v>
      </c>
      <c r="E382" t="s">
        <v>553</v>
      </c>
      <c r="F382">
        <v>2018</v>
      </c>
      <c r="G382" t="s">
        <v>546</v>
      </c>
    </row>
    <row r="383" spans="1:7" x14ac:dyDescent="0.3">
      <c r="A383" t="s">
        <v>501</v>
      </c>
      <c r="B383" s="1">
        <v>43451</v>
      </c>
      <c r="C383" t="s">
        <v>869</v>
      </c>
      <c r="D383" t="s">
        <v>543</v>
      </c>
      <c r="E383" t="s">
        <v>543</v>
      </c>
      <c r="F383">
        <v>2018</v>
      </c>
      <c r="G383" t="s">
        <v>550</v>
      </c>
    </row>
    <row r="384" spans="1:7" x14ac:dyDescent="0.3">
      <c r="A384" t="s">
        <v>483</v>
      </c>
      <c r="B384" s="1">
        <v>43450</v>
      </c>
      <c r="C384" t="s">
        <v>870</v>
      </c>
      <c r="D384" t="s">
        <v>543</v>
      </c>
      <c r="E384" t="s">
        <v>543</v>
      </c>
      <c r="F384">
        <v>2018</v>
      </c>
      <c r="G384" t="s">
        <v>550</v>
      </c>
    </row>
    <row r="385" spans="1:7" x14ac:dyDescent="0.3">
      <c r="A385" t="s">
        <v>297</v>
      </c>
      <c r="B385" s="1">
        <v>43393</v>
      </c>
      <c r="C385" t="s">
        <v>871</v>
      </c>
      <c r="D385" t="s">
        <v>552</v>
      </c>
      <c r="E385" t="s">
        <v>553</v>
      </c>
      <c r="F385">
        <v>2018</v>
      </c>
      <c r="G385" t="s">
        <v>563</v>
      </c>
    </row>
    <row r="386" spans="1:7" x14ac:dyDescent="0.3">
      <c r="A386" t="s">
        <v>427</v>
      </c>
      <c r="B386" s="1">
        <v>43287</v>
      </c>
      <c r="C386" t="s">
        <v>772</v>
      </c>
      <c r="D386" t="s">
        <v>552</v>
      </c>
      <c r="E386" t="s">
        <v>590</v>
      </c>
      <c r="F386">
        <v>2018</v>
      </c>
      <c r="G386" t="s">
        <v>614</v>
      </c>
    </row>
    <row r="387" spans="1:7" x14ac:dyDescent="0.3">
      <c r="A387" t="s">
        <v>105</v>
      </c>
      <c r="B387" s="1">
        <v>43419</v>
      </c>
      <c r="C387" t="s">
        <v>872</v>
      </c>
      <c r="D387" t="s">
        <v>548</v>
      </c>
      <c r="E387" t="s">
        <v>549</v>
      </c>
      <c r="F387">
        <v>2018</v>
      </c>
      <c r="G387" t="s">
        <v>567</v>
      </c>
    </row>
    <row r="388" spans="1:7" x14ac:dyDescent="0.3">
      <c r="A388" t="s">
        <v>268</v>
      </c>
      <c r="B388" s="1">
        <v>43455</v>
      </c>
      <c r="C388" t="s">
        <v>767</v>
      </c>
      <c r="D388" t="s">
        <v>548</v>
      </c>
      <c r="E388" t="s">
        <v>549</v>
      </c>
      <c r="F388">
        <v>2018</v>
      </c>
      <c r="G388" t="s">
        <v>550</v>
      </c>
    </row>
    <row r="389" spans="1:7" x14ac:dyDescent="0.3">
      <c r="A389" t="s">
        <v>292</v>
      </c>
      <c r="B389" s="1">
        <v>43164</v>
      </c>
      <c r="C389" t="s">
        <v>599</v>
      </c>
      <c r="D389" t="s">
        <v>552</v>
      </c>
      <c r="E389" t="s">
        <v>590</v>
      </c>
      <c r="F389">
        <v>2018</v>
      </c>
      <c r="G389" t="s">
        <v>541</v>
      </c>
    </row>
    <row r="390" spans="1:7" x14ac:dyDescent="0.3">
      <c r="A390" t="s">
        <v>247</v>
      </c>
      <c r="B390" s="1">
        <v>43458</v>
      </c>
      <c r="C390" t="s">
        <v>873</v>
      </c>
      <c r="D390" t="s">
        <v>539</v>
      </c>
      <c r="E390" t="s">
        <v>556</v>
      </c>
      <c r="F390">
        <v>2018</v>
      </c>
      <c r="G390" t="s">
        <v>550</v>
      </c>
    </row>
    <row r="391" spans="1:7" x14ac:dyDescent="0.3">
      <c r="A391" t="s">
        <v>31</v>
      </c>
      <c r="B391" s="1">
        <v>43275</v>
      </c>
      <c r="C391" t="s">
        <v>874</v>
      </c>
      <c r="D391" t="s">
        <v>539</v>
      </c>
      <c r="E391" t="s">
        <v>620</v>
      </c>
      <c r="F391">
        <v>2018</v>
      </c>
      <c r="G391" t="s">
        <v>585</v>
      </c>
    </row>
    <row r="392" spans="1:7" x14ac:dyDescent="0.3">
      <c r="A392" t="s">
        <v>47</v>
      </c>
      <c r="B392" s="1">
        <v>43311</v>
      </c>
      <c r="C392" t="s">
        <v>875</v>
      </c>
      <c r="D392" t="s">
        <v>539</v>
      </c>
      <c r="E392" t="s">
        <v>620</v>
      </c>
      <c r="F392">
        <v>2018</v>
      </c>
      <c r="G392" t="s">
        <v>614</v>
      </c>
    </row>
    <row r="393" spans="1:7" x14ac:dyDescent="0.3">
      <c r="A393" t="s">
        <v>169</v>
      </c>
      <c r="B393" s="1">
        <v>43277</v>
      </c>
      <c r="C393" t="s">
        <v>876</v>
      </c>
      <c r="D393" t="s">
        <v>552</v>
      </c>
      <c r="E393" t="s">
        <v>553</v>
      </c>
      <c r="F393">
        <v>2018</v>
      </c>
      <c r="G393" t="s">
        <v>585</v>
      </c>
    </row>
    <row r="394" spans="1:7" x14ac:dyDescent="0.3">
      <c r="A394" t="s">
        <v>272</v>
      </c>
      <c r="B394" s="1">
        <v>43186</v>
      </c>
      <c r="C394" t="s">
        <v>775</v>
      </c>
      <c r="D394" t="s">
        <v>569</v>
      </c>
      <c r="E394" t="s">
        <v>576</v>
      </c>
      <c r="F394">
        <v>2018</v>
      </c>
      <c r="G394" t="s">
        <v>541</v>
      </c>
    </row>
    <row r="395" spans="1:7" x14ac:dyDescent="0.3">
      <c r="A395" t="s">
        <v>242</v>
      </c>
      <c r="B395" s="1">
        <v>43182</v>
      </c>
      <c r="C395" t="s">
        <v>692</v>
      </c>
      <c r="D395" t="s">
        <v>539</v>
      </c>
      <c r="E395" t="s">
        <v>620</v>
      </c>
      <c r="F395">
        <v>2018</v>
      </c>
      <c r="G395" t="s">
        <v>541</v>
      </c>
    </row>
    <row r="396" spans="1:7" x14ac:dyDescent="0.3">
      <c r="A396" t="s">
        <v>265</v>
      </c>
      <c r="B396" s="1">
        <v>43387</v>
      </c>
      <c r="C396" t="s">
        <v>877</v>
      </c>
      <c r="D396" t="s">
        <v>552</v>
      </c>
      <c r="E396" t="s">
        <v>553</v>
      </c>
      <c r="F396">
        <v>2018</v>
      </c>
      <c r="G396" t="s">
        <v>563</v>
      </c>
    </row>
    <row r="397" spans="1:7" x14ac:dyDescent="0.3">
      <c r="A397" t="s">
        <v>499</v>
      </c>
      <c r="B397" s="1">
        <v>43407</v>
      </c>
      <c r="C397" t="s">
        <v>878</v>
      </c>
      <c r="D397" t="s">
        <v>587</v>
      </c>
      <c r="E397" t="s">
        <v>588</v>
      </c>
      <c r="F397">
        <v>2018</v>
      </c>
      <c r="G397" t="s">
        <v>567</v>
      </c>
    </row>
    <row r="398" spans="1:7" x14ac:dyDescent="0.3">
      <c r="A398" t="s">
        <v>302</v>
      </c>
      <c r="B398" s="1">
        <v>43143</v>
      </c>
      <c r="C398" t="s">
        <v>644</v>
      </c>
      <c r="D398" t="s">
        <v>569</v>
      </c>
      <c r="E398" t="s">
        <v>576</v>
      </c>
      <c r="F398">
        <v>2018</v>
      </c>
      <c r="G398" t="s">
        <v>544</v>
      </c>
    </row>
    <row r="399" spans="1:7" x14ac:dyDescent="0.3">
      <c r="A399" t="s">
        <v>158</v>
      </c>
      <c r="B399" s="1">
        <v>43214</v>
      </c>
      <c r="C399" t="s">
        <v>824</v>
      </c>
      <c r="D399" t="s">
        <v>605</v>
      </c>
      <c r="E399" t="s">
        <v>588</v>
      </c>
      <c r="F399">
        <v>2018</v>
      </c>
      <c r="G399" t="s">
        <v>565</v>
      </c>
    </row>
    <row r="400" spans="1:7" x14ac:dyDescent="0.3">
      <c r="A400" t="s">
        <v>238</v>
      </c>
      <c r="B400" s="1">
        <v>43196</v>
      </c>
      <c r="C400" t="s">
        <v>760</v>
      </c>
      <c r="D400" t="s">
        <v>610</v>
      </c>
      <c r="E400" t="s">
        <v>611</v>
      </c>
      <c r="F400">
        <v>2018</v>
      </c>
      <c r="G400" t="s">
        <v>565</v>
      </c>
    </row>
    <row r="401" spans="1:7" x14ac:dyDescent="0.3">
      <c r="A401" t="s">
        <v>275</v>
      </c>
      <c r="B401" s="1">
        <v>43322</v>
      </c>
      <c r="C401" t="s">
        <v>670</v>
      </c>
      <c r="D401" t="s">
        <v>548</v>
      </c>
      <c r="E401" t="s">
        <v>558</v>
      </c>
      <c r="F401">
        <v>2018</v>
      </c>
      <c r="G401" t="s">
        <v>554</v>
      </c>
    </row>
    <row r="402" spans="1:7" x14ac:dyDescent="0.3">
      <c r="A402" t="s">
        <v>373</v>
      </c>
      <c r="B402" s="1">
        <v>43139</v>
      </c>
      <c r="C402" t="s">
        <v>879</v>
      </c>
      <c r="D402" t="s">
        <v>632</v>
      </c>
      <c r="E402" t="s">
        <v>633</v>
      </c>
      <c r="F402">
        <v>2018</v>
      </c>
      <c r="G402" t="s">
        <v>544</v>
      </c>
    </row>
    <row r="403" spans="1:7" x14ac:dyDescent="0.3">
      <c r="A403" t="s">
        <v>253</v>
      </c>
      <c r="B403" s="1">
        <v>43407</v>
      </c>
      <c r="C403" t="s">
        <v>880</v>
      </c>
      <c r="D403" t="s">
        <v>552</v>
      </c>
      <c r="E403" t="s">
        <v>553</v>
      </c>
      <c r="F403">
        <v>2018</v>
      </c>
      <c r="G403" t="s">
        <v>567</v>
      </c>
    </row>
    <row r="404" spans="1:7" x14ac:dyDescent="0.3">
      <c r="A404" t="s">
        <v>372</v>
      </c>
      <c r="B404" s="1">
        <v>43423</v>
      </c>
      <c r="C404" t="s">
        <v>881</v>
      </c>
      <c r="D404" t="s">
        <v>596</v>
      </c>
      <c r="E404" t="s">
        <v>597</v>
      </c>
      <c r="F404">
        <v>2018</v>
      </c>
      <c r="G404" t="s">
        <v>567</v>
      </c>
    </row>
    <row r="405" spans="1:7" x14ac:dyDescent="0.3">
      <c r="A405" t="s">
        <v>287</v>
      </c>
      <c r="B405" s="1">
        <v>43175</v>
      </c>
      <c r="C405" t="s">
        <v>623</v>
      </c>
      <c r="D405" t="s">
        <v>548</v>
      </c>
      <c r="E405" t="s">
        <v>558</v>
      </c>
      <c r="F405">
        <v>2018</v>
      </c>
      <c r="G405" t="s">
        <v>541</v>
      </c>
    </row>
    <row r="406" spans="1:7" x14ac:dyDescent="0.3">
      <c r="A406" t="s">
        <v>359</v>
      </c>
      <c r="B406" s="1">
        <v>43419</v>
      </c>
      <c r="C406" t="s">
        <v>882</v>
      </c>
      <c r="D406" t="s">
        <v>552</v>
      </c>
      <c r="E406" t="s">
        <v>553</v>
      </c>
      <c r="F406">
        <v>2018</v>
      </c>
      <c r="G406" t="s">
        <v>567</v>
      </c>
    </row>
    <row r="407" spans="1:7" x14ac:dyDescent="0.3">
      <c r="A407" t="s">
        <v>470</v>
      </c>
      <c r="B407" s="1">
        <v>43156</v>
      </c>
      <c r="C407" t="s">
        <v>612</v>
      </c>
      <c r="D407" t="s">
        <v>592</v>
      </c>
      <c r="E407" t="s">
        <v>593</v>
      </c>
      <c r="F407">
        <v>2018</v>
      </c>
      <c r="G407" t="s">
        <v>544</v>
      </c>
    </row>
    <row r="408" spans="1:7" x14ac:dyDescent="0.3">
      <c r="A408" t="s">
        <v>524</v>
      </c>
      <c r="B408" s="1">
        <v>43454</v>
      </c>
      <c r="C408" t="s">
        <v>883</v>
      </c>
      <c r="D408" t="s">
        <v>569</v>
      </c>
      <c r="E408" t="s">
        <v>570</v>
      </c>
      <c r="F408">
        <v>2018</v>
      </c>
      <c r="G408" t="s">
        <v>550</v>
      </c>
    </row>
    <row r="409" spans="1:7" x14ac:dyDescent="0.3">
      <c r="A409" t="s">
        <v>389</v>
      </c>
      <c r="B409" s="1">
        <v>43186</v>
      </c>
      <c r="C409" t="s">
        <v>788</v>
      </c>
      <c r="D409" t="s">
        <v>596</v>
      </c>
      <c r="E409" t="s">
        <v>597</v>
      </c>
      <c r="F409">
        <v>2018</v>
      </c>
      <c r="G409" t="s">
        <v>541</v>
      </c>
    </row>
    <row r="410" spans="1:7" x14ac:dyDescent="0.3">
      <c r="A410" t="s">
        <v>522</v>
      </c>
      <c r="B410" s="1">
        <v>43131</v>
      </c>
      <c r="C410" t="s">
        <v>884</v>
      </c>
      <c r="D410" t="s">
        <v>543</v>
      </c>
      <c r="E410" t="s">
        <v>543</v>
      </c>
      <c r="F410">
        <v>2018</v>
      </c>
      <c r="G410" t="s">
        <v>546</v>
      </c>
    </row>
    <row r="411" spans="1:7" x14ac:dyDescent="0.3">
      <c r="A411" t="s">
        <v>394</v>
      </c>
      <c r="B411" s="1">
        <v>43445</v>
      </c>
      <c r="C411" t="s">
        <v>885</v>
      </c>
      <c r="D411" t="s">
        <v>543</v>
      </c>
      <c r="E411" t="s">
        <v>543</v>
      </c>
      <c r="F411">
        <v>2018</v>
      </c>
      <c r="G411" t="s">
        <v>550</v>
      </c>
    </row>
    <row r="412" spans="1:7" x14ac:dyDescent="0.3">
      <c r="A412" t="s">
        <v>113</v>
      </c>
      <c r="B412" s="1">
        <v>43145</v>
      </c>
      <c r="C412" t="s">
        <v>865</v>
      </c>
      <c r="D412" t="s">
        <v>641</v>
      </c>
      <c r="E412" t="s">
        <v>642</v>
      </c>
      <c r="F412">
        <v>2018</v>
      </c>
      <c r="G412" t="s">
        <v>544</v>
      </c>
    </row>
    <row r="413" spans="1:7" x14ac:dyDescent="0.3">
      <c r="A413" t="s">
        <v>515</v>
      </c>
      <c r="B413" s="1">
        <v>43220</v>
      </c>
      <c r="C413" t="s">
        <v>735</v>
      </c>
      <c r="D413" t="s">
        <v>548</v>
      </c>
      <c r="E413" t="s">
        <v>549</v>
      </c>
      <c r="F413">
        <v>2018</v>
      </c>
      <c r="G413" t="s">
        <v>565</v>
      </c>
    </row>
    <row r="414" spans="1:7" x14ac:dyDescent="0.3">
      <c r="A414" t="s">
        <v>11</v>
      </c>
      <c r="B414" s="1">
        <v>43255</v>
      </c>
      <c r="C414" t="s">
        <v>886</v>
      </c>
      <c r="D414" t="s">
        <v>548</v>
      </c>
      <c r="E414" t="s">
        <v>549</v>
      </c>
      <c r="F414">
        <v>2018</v>
      </c>
      <c r="G414" t="s">
        <v>585</v>
      </c>
    </row>
    <row r="415" spans="1:7" x14ac:dyDescent="0.3">
      <c r="A415" t="s">
        <v>28</v>
      </c>
      <c r="B415" s="1">
        <v>43299</v>
      </c>
      <c r="C415" t="s">
        <v>887</v>
      </c>
      <c r="D415" t="s">
        <v>548</v>
      </c>
      <c r="E415" t="s">
        <v>549</v>
      </c>
      <c r="F415">
        <v>2018</v>
      </c>
      <c r="G415" t="s">
        <v>614</v>
      </c>
    </row>
    <row r="416" spans="1:7" x14ac:dyDescent="0.3">
      <c r="A416" t="s">
        <v>498</v>
      </c>
      <c r="B416" s="1">
        <v>43195</v>
      </c>
      <c r="C416" t="s">
        <v>736</v>
      </c>
      <c r="D416" t="s">
        <v>632</v>
      </c>
      <c r="E416" t="s">
        <v>633</v>
      </c>
      <c r="F416">
        <v>2018</v>
      </c>
      <c r="G416" t="s">
        <v>565</v>
      </c>
    </row>
    <row r="417" spans="1:7" x14ac:dyDescent="0.3">
      <c r="A417" t="s">
        <v>343</v>
      </c>
      <c r="B417" s="1">
        <v>43367</v>
      </c>
      <c r="C417" t="s">
        <v>677</v>
      </c>
      <c r="D417" t="s">
        <v>548</v>
      </c>
      <c r="E417" t="s">
        <v>549</v>
      </c>
      <c r="F417">
        <v>2018</v>
      </c>
      <c r="G417" t="s">
        <v>583</v>
      </c>
    </row>
    <row r="418" spans="1:7" x14ac:dyDescent="0.3">
      <c r="A418" t="s">
        <v>342</v>
      </c>
      <c r="B418" s="1">
        <v>43255</v>
      </c>
      <c r="C418" t="s">
        <v>781</v>
      </c>
      <c r="D418" t="s">
        <v>552</v>
      </c>
      <c r="E418" t="s">
        <v>553</v>
      </c>
      <c r="F418">
        <v>2018</v>
      </c>
      <c r="G418" t="s">
        <v>585</v>
      </c>
    </row>
    <row r="419" spans="1:7" x14ac:dyDescent="0.3">
      <c r="A419" t="s">
        <v>340</v>
      </c>
      <c r="B419" s="1">
        <v>43104</v>
      </c>
      <c r="C419" t="s">
        <v>888</v>
      </c>
      <c r="D419" t="s">
        <v>548</v>
      </c>
      <c r="E419" t="s">
        <v>549</v>
      </c>
      <c r="F419">
        <v>2018</v>
      </c>
      <c r="G419" t="s">
        <v>546</v>
      </c>
    </row>
    <row r="420" spans="1:7" x14ac:dyDescent="0.3">
      <c r="A420" t="s">
        <v>430</v>
      </c>
      <c r="B420" s="1">
        <v>43104</v>
      </c>
      <c r="C420" t="s">
        <v>889</v>
      </c>
      <c r="D420" t="s">
        <v>552</v>
      </c>
      <c r="E420" t="s">
        <v>553</v>
      </c>
      <c r="F420">
        <v>2018</v>
      </c>
      <c r="G420" t="s">
        <v>546</v>
      </c>
    </row>
    <row r="421" spans="1:7" x14ac:dyDescent="0.3">
      <c r="A421" t="s">
        <v>396</v>
      </c>
      <c r="B421" s="1">
        <v>43133</v>
      </c>
      <c r="C421" t="s">
        <v>890</v>
      </c>
      <c r="D421" t="s">
        <v>543</v>
      </c>
      <c r="E421" t="s">
        <v>543</v>
      </c>
      <c r="F421">
        <v>2018</v>
      </c>
      <c r="G421" t="s">
        <v>544</v>
      </c>
    </row>
    <row r="422" spans="1:7" x14ac:dyDescent="0.3">
      <c r="A422" t="s">
        <v>468</v>
      </c>
      <c r="B422" s="1">
        <v>43205</v>
      </c>
      <c r="C422" t="s">
        <v>834</v>
      </c>
      <c r="D422" t="s">
        <v>711</v>
      </c>
      <c r="E422" t="s">
        <v>712</v>
      </c>
      <c r="F422">
        <v>2018</v>
      </c>
      <c r="G422" t="s">
        <v>565</v>
      </c>
    </row>
    <row r="423" spans="1:7" x14ac:dyDescent="0.3">
      <c r="A423" t="s">
        <v>440</v>
      </c>
      <c r="B423" s="1">
        <v>43153</v>
      </c>
      <c r="C423" t="s">
        <v>782</v>
      </c>
      <c r="D423" t="s">
        <v>552</v>
      </c>
      <c r="E423" t="s">
        <v>590</v>
      </c>
      <c r="F423">
        <v>2018</v>
      </c>
      <c r="G423" t="s">
        <v>544</v>
      </c>
    </row>
    <row r="424" spans="1:7" x14ac:dyDescent="0.3">
      <c r="A424" t="s">
        <v>67</v>
      </c>
      <c r="B424" s="1">
        <v>43374</v>
      </c>
      <c r="C424" t="s">
        <v>891</v>
      </c>
      <c r="D424" t="s">
        <v>552</v>
      </c>
      <c r="E424" t="s">
        <v>590</v>
      </c>
      <c r="F424">
        <v>2018</v>
      </c>
      <c r="G424" t="s">
        <v>563</v>
      </c>
    </row>
    <row r="425" spans="1:7" x14ac:dyDescent="0.3">
      <c r="A425" t="s">
        <v>385</v>
      </c>
      <c r="B425" s="1">
        <v>43402</v>
      </c>
      <c r="C425" t="s">
        <v>892</v>
      </c>
      <c r="D425" t="s">
        <v>552</v>
      </c>
      <c r="E425" t="s">
        <v>553</v>
      </c>
      <c r="F425">
        <v>2018</v>
      </c>
      <c r="G425" t="s">
        <v>563</v>
      </c>
    </row>
    <row r="426" spans="1:7" x14ac:dyDescent="0.3">
      <c r="A426" t="s">
        <v>500</v>
      </c>
      <c r="B426" s="1">
        <v>43181</v>
      </c>
      <c r="C426" t="s">
        <v>764</v>
      </c>
      <c r="D426" t="s">
        <v>607</v>
      </c>
      <c r="E426" t="s">
        <v>649</v>
      </c>
      <c r="F426">
        <v>2018</v>
      </c>
      <c r="G426" t="s">
        <v>541</v>
      </c>
    </row>
    <row r="427" spans="1:7" x14ac:dyDescent="0.3">
      <c r="A427" t="s">
        <v>445</v>
      </c>
      <c r="B427" s="1">
        <v>43105</v>
      </c>
      <c r="C427" t="s">
        <v>893</v>
      </c>
      <c r="D427" t="s">
        <v>587</v>
      </c>
      <c r="E427" t="s">
        <v>588</v>
      </c>
      <c r="F427">
        <v>2018</v>
      </c>
      <c r="G427" t="s">
        <v>546</v>
      </c>
    </row>
    <row r="428" spans="1:7" x14ac:dyDescent="0.3">
      <c r="A428" t="s">
        <v>223</v>
      </c>
      <c r="B428" s="1">
        <v>43105</v>
      </c>
      <c r="C428" t="s">
        <v>763</v>
      </c>
      <c r="D428" t="s">
        <v>581</v>
      </c>
      <c r="E428" t="s">
        <v>582</v>
      </c>
      <c r="F428">
        <v>2018</v>
      </c>
      <c r="G428" t="s">
        <v>546</v>
      </c>
    </row>
    <row r="429" spans="1:7" x14ac:dyDescent="0.3">
      <c r="A429" t="s">
        <v>434</v>
      </c>
      <c r="B429" s="1">
        <v>43292</v>
      </c>
      <c r="C429" t="s">
        <v>618</v>
      </c>
      <c r="D429" t="s">
        <v>626</v>
      </c>
      <c r="E429" t="s">
        <v>627</v>
      </c>
      <c r="F429">
        <v>2018</v>
      </c>
      <c r="G429" t="s">
        <v>614</v>
      </c>
    </row>
    <row r="430" spans="1:7" x14ac:dyDescent="0.3">
      <c r="A430" t="s">
        <v>198</v>
      </c>
      <c r="B430" s="1">
        <v>43315</v>
      </c>
      <c r="C430" t="s">
        <v>894</v>
      </c>
      <c r="D430" t="s">
        <v>548</v>
      </c>
      <c r="E430" t="s">
        <v>549</v>
      </c>
      <c r="F430">
        <v>2018</v>
      </c>
      <c r="G430" t="s">
        <v>554</v>
      </c>
    </row>
    <row r="431" spans="1:7" x14ac:dyDescent="0.3">
      <c r="A431" t="s">
        <v>338</v>
      </c>
      <c r="B431" s="1">
        <v>43339</v>
      </c>
      <c r="C431" t="s">
        <v>895</v>
      </c>
      <c r="D431" t="s">
        <v>569</v>
      </c>
      <c r="E431" t="s">
        <v>576</v>
      </c>
      <c r="F431">
        <v>2018</v>
      </c>
      <c r="G431" t="s">
        <v>554</v>
      </c>
    </row>
    <row r="432" spans="1:7" x14ac:dyDescent="0.3">
      <c r="A432" t="s">
        <v>289</v>
      </c>
      <c r="B432" s="1">
        <v>43426</v>
      </c>
      <c r="C432" t="s">
        <v>844</v>
      </c>
      <c r="D432" t="s">
        <v>548</v>
      </c>
      <c r="E432" t="s">
        <v>549</v>
      </c>
      <c r="F432">
        <v>2018</v>
      </c>
      <c r="G432" t="s">
        <v>567</v>
      </c>
    </row>
    <row r="433" spans="1:7" x14ac:dyDescent="0.3">
      <c r="A433" t="s">
        <v>178</v>
      </c>
      <c r="B433" s="1">
        <v>43428</v>
      </c>
      <c r="C433" t="s">
        <v>622</v>
      </c>
      <c r="D433" t="s">
        <v>552</v>
      </c>
      <c r="E433" t="s">
        <v>553</v>
      </c>
      <c r="F433">
        <v>2018</v>
      </c>
      <c r="G433" t="s">
        <v>567</v>
      </c>
    </row>
    <row r="434" spans="1:7" x14ac:dyDescent="0.3">
      <c r="A434" t="s">
        <v>462</v>
      </c>
      <c r="B434" s="1">
        <v>43464</v>
      </c>
      <c r="C434" t="s">
        <v>896</v>
      </c>
      <c r="D434" t="s">
        <v>552</v>
      </c>
      <c r="E434" t="s">
        <v>553</v>
      </c>
      <c r="F434">
        <v>2018</v>
      </c>
      <c r="G434" t="s">
        <v>550</v>
      </c>
    </row>
    <row r="435" spans="1:7" x14ac:dyDescent="0.3">
      <c r="A435" t="s">
        <v>444</v>
      </c>
      <c r="B435" s="1">
        <v>43180</v>
      </c>
      <c r="C435" t="s">
        <v>644</v>
      </c>
      <c r="D435" t="s">
        <v>569</v>
      </c>
      <c r="E435" t="s">
        <v>576</v>
      </c>
      <c r="F435">
        <v>2018</v>
      </c>
      <c r="G435" t="s">
        <v>541</v>
      </c>
    </row>
    <row r="436" spans="1:7" x14ac:dyDescent="0.3">
      <c r="A436" t="s">
        <v>428</v>
      </c>
      <c r="B436" s="1">
        <v>43213</v>
      </c>
      <c r="C436" t="s">
        <v>690</v>
      </c>
      <c r="D436" t="s">
        <v>552</v>
      </c>
      <c r="E436" t="s">
        <v>553</v>
      </c>
      <c r="F436">
        <v>2018</v>
      </c>
      <c r="G436" t="s">
        <v>565</v>
      </c>
    </row>
    <row r="437" spans="1:7" x14ac:dyDescent="0.3">
      <c r="A437" t="s">
        <v>234</v>
      </c>
      <c r="B437" s="1">
        <v>43106</v>
      </c>
      <c r="C437" t="s">
        <v>897</v>
      </c>
      <c r="D437" t="s">
        <v>661</v>
      </c>
      <c r="E437" t="s">
        <v>661</v>
      </c>
      <c r="F437">
        <v>2018</v>
      </c>
      <c r="G437" t="s">
        <v>546</v>
      </c>
    </row>
    <row r="438" spans="1:7" x14ac:dyDescent="0.3">
      <c r="A438" t="s">
        <v>465</v>
      </c>
      <c r="B438" s="1">
        <v>43163</v>
      </c>
      <c r="C438" t="s">
        <v>863</v>
      </c>
      <c r="D438" t="s">
        <v>552</v>
      </c>
      <c r="E438" t="s">
        <v>553</v>
      </c>
      <c r="F438">
        <v>2018</v>
      </c>
      <c r="G438" t="s">
        <v>541</v>
      </c>
    </row>
    <row r="439" spans="1:7" x14ac:dyDescent="0.3">
      <c r="A439" t="s">
        <v>282</v>
      </c>
      <c r="B439" s="1">
        <v>43176</v>
      </c>
      <c r="C439" t="s">
        <v>841</v>
      </c>
      <c r="D439" t="s">
        <v>632</v>
      </c>
      <c r="E439" t="s">
        <v>633</v>
      </c>
      <c r="F439">
        <v>2018</v>
      </c>
      <c r="G439" t="s">
        <v>541</v>
      </c>
    </row>
    <row r="440" spans="1:7" x14ac:dyDescent="0.3">
      <c r="A440" t="s">
        <v>438</v>
      </c>
      <c r="B440" s="1">
        <v>43151</v>
      </c>
      <c r="C440" t="s">
        <v>788</v>
      </c>
      <c r="D440" t="s">
        <v>596</v>
      </c>
      <c r="E440" t="s">
        <v>597</v>
      </c>
      <c r="F440">
        <v>2018</v>
      </c>
      <c r="G440" t="s">
        <v>544</v>
      </c>
    </row>
    <row r="441" spans="1:7" x14ac:dyDescent="0.3">
      <c r="A441" t="s">
        <v>370</v>
      </c>
      <c r="B441" s="1">
        <v>43119</v>
      </c>
      <c r="C441" t="s">
        <v>898</v>
      </c>
      <c r="D441" t="s">
        <v>548</v>
      </c>
      <c r="E441" t="s">
        <v>549</v>
      </c>
      <c r="F441">
        <v>2018</v>
      </c>
      <c r="G441" t="s">
        <v>546</v>
      </c>
    </row>
    <row r="442" spans="1:7" x14ac:dyDescent="0.3">
      <c r="A442" t="s">
        <v>281</v>
      </c>
      <c r="B442" s="1">
        <v>43460</v>
      </c>
      <c r="C442" t="s">
        <v>899</v>
      </c>
      <c r="D442" t="s">
        <v>569</v>
      </c>
      <c r="E442" t="s">
        <v>570</v>
      </c>
      <c r="F442">
        <v>2018</v>
      </c>
      <c r="G442" t="s">
        <v>550</v>
      </c>
    </row>
    <row r="443" spans="1:7" x14ac:dyDescent="0.3">
      <c r="A443" t="s">
        <v>271</v>
      </c>
      <c r="B443" s="1">
        <v>43420</v>
      </c>
      <c r="C443" t="s">
        <v>793</v>
      </c>
      <c r="D443" t="s">
        <v>581</v>
      </c>
      <c r="E443" t="s">
        <v>582</v>
      </c>
      <c r="F443">
        <v>2018</v>
      </c>
      <c r="G443" t="s">
        <v>567</v>
      </c>
    </row>
    <row r="444" spans="1:7" x14ac:dyDescent="0.3">
      <c r="A444" t="s">
        <v>429</v>
      </c>
      <c r="B444" s="1">
        <v>43196</v>
      </c>
      <c r="C444" t="s">
        <v>865</v>
      </c>
      <c r="D444" t="s">
        <v>641</v>
      </c>
      <c r="E444" t="s">
        <v>642</v>
      </c>
      <c r="F444">
        <v>2018</v>
      </c>
      <c r="G444" t="s">
        <v>565</v>
      </c>
    </row>
    <row r="445" spans="1:7" x14ac:dyDescent="0.3">
      <c r="A445" t="s">
        <v>189</v>
      </c>
      <c r="B445" s="1">
        <v>43351</v>
      </c>
      <c r="C445" t="s">
        <v>900</v>
      </c>
      <c r="D445" t="s">
        <v>605</v>
      </c>
      <c r="E445" t="s">
        <v>588</v>
      </c>
      <c r="F445">
        <v>2018</v>
      </c>
      <c r="G445" t="s">
        <v>583</v>
      </c>
    </row>
    <row r="446" spans="1:7" x14ac:dyDescent="0.3">
      <c r="A446" t="s">
        <v>456</v>
      </c>
      <c r="B446" s="1">
        <v>43135</v>
      </c>
      <c r="C446" t="s">
        <v>901</v>
      </c>
      <c r="D446" t="s">
        <v>607</v>
      </c>
      <c r="E446" t="s">
        <v>608</v>
      </c>
      <c r="F446">
        <v>2018</v>
      </c>
      <c r="G446" t="s">
        <v>544</v>
      </c>
    </row>
    <row r="447" spans="1:7" x14ac:dyDescent="0.3">
      <c r="A447" t="s">
        <v>66</v>
      </c>
      <c r="B447" s="1">
        <v>43174</v>
      </c>
      <c r="C447" t="s">
        <v>811</v>
      </c>
      <c r="D447" t="s">
        <v>661</v>
      </c>
      <c r="E447" t="s">
        <v>661</v>
      </c>
      <c r="F447">
        <v>2018</v>
      </c>
      <c r="G447" t="s">
        <v>541</v>
      </c>
    </row>
    <row r="448" spans="1:7" x14ac:dyDescent="0.3">
      <c r="A448" t="s">
        <v>516</v>
      </c>
      <c r="B448" s="1">
        <v>43298</v>
      </c>
      <c r="C448" t="s">
        <v>902</v>
      </c>
      <c r="D448" t="s">
        <v>581</v>
      </c>
      <c r="E448" t="s">
        <v>582</v>
      </c>
      <c r="F448">
        <v>2018</v>
      </c>
      <c r="G448" t="s">
        <v>614</v>
      </c>
    </row>
    <row r="449" spans="1:7" x14ac:dyDescent="0.3">
      <c r="A449" t="s">
        <v>187</v>
      </c>
      <c r="B449" s="1">
        <v>43352</v>
      </c>
      <c r="C449" t="s">
        <v>903</v>
      </c>
      <c r="D449" t="s">
        <v>548</v>
      </c>
      <c r="E449" t="s">
        <v>549</v>
      </c>
      <c r="F449">
        <v>2018</v>
      </c>
      <c r="G449" t="s">
        <v>583</v>
      </c>
    </row>
    <row r="450" spans="1:7" x14ac:dyDescent="0.3">
      <c r="A450" t="s">
        <v>466</v>
      </c>
      <c r="B450" s="1">
        <v>43153</v>
      </c>
      <c r="C450" t="s">
        <v>741</v>
      </c>
      <c r="D450" t="s">
        <v>607</v>
      </c>
      <c r="E450" t="s">
        <v>649</v>
      </c>
      <c r="F450">
        <v>2018</v>
      </c>
      <c r="G450" t="s">
        <v>544</v>
      </c>
    </row>
    <row r="451" spans="1:7" x14ac:dyDescent="0.3">
      <c r="A451" t="s">
        <v>217</v>
      </c>
      <c r="B451" s="1">
        <v>43281</v>
      </c>
      <c r="C451" t="s">
        <v>676</v>
      </c>
      <c r="D451" t="s">
        <v>552</v>
      </c>
      <c r="E451" t="s">
        <v>553</v>
      </c>
      <c r="F451">
        <v>2018</v>
      </c>
      <c r="G451" t="s">
        <v>585</v>
      </c>
    </row>
    <row r="452" spans="1:7" x14ac:dyDescent="0.3">
      <c r="A452" t="s">
        <v>197</v>
      </c>
      <c r="B452" s="1">
        <v>43214</v>
      </c>
      <c r="C452" t="s">
        <v>584</v>
      </c>
      <c r="D452" t="s">
        <v>578</v>
      </c>
      <c r="E452" t="s">
        <v>579</v>
      </c>
      <c r="F452">
        <v>2018</v>
      </c>
      <c r="G452" t="s">
        <v>565</v>
      </c>
    </row>
    <row r="453" spans="1:7" x14ac:dyDescent="0.3">
      <c r="A453" t="s">
        <v>193</v>
      </c>
      <c r="B453" s="1">
        <v>43309</v>
      </c>
      <c r="C453" t="s">
        <v>904</v>
      </c>
      <c r="D453" t="s">
        <v>548</v>
      </c>
      <c r="E453" t="s">
        <v>549</v>
      </c>
      <c r="F453">
        <v>2018</v>
      </c>
      <c r="G453" t="s">
        <v>614</v>
      </c>
    </row>
    <row r="454" spans="1:7" x14ac:dyDescent="0.3">
      <c r="A454" t="s">
        <v>432</v>
      </c>
      <c r="B454" s="1">
        <v>43223</v>
      </c>
      <c r="C454" t="s">
        <v>706</v>
      </c>
      <c r="D454" t="s">
        <v>592</v>
      </c>
      <c r="E454" t="s">
        <v>593</v>
      </c>
      <c r="F454">
        <v>2018</v>
      </c>
      <c r="G454" t="s">
        <v>624</v>
      </c>
    </row>
    <row r="455" spans="1:7" x14ac:dyDescent="0.3">
      <c r="A455" t="s">
        <v>62</v>
      </c>
      <c r="B455" s="1">
        <v>43366</v>
      </c>
      <c r="C455" t="s">
        <v>905</v>
      </c>
      <c r="D455" t="s">
        <v>578</v>
      </c>
      <c r="E455" t="s">
        <v>579</v>
      </c>
      <c r="F455">
        <v>2018</v>
      </c>
      <c r="G455" t="s">
        <v>583</v>
      </c>
    </row>
    <row r="456" spans="1:7" x14ac:dyDescent="0.3">
      <c r="A456" t="s">
        <v>54</v>
      </c>
      <c r="B456" s="1">
        <v>43282</v>
      </c>
      <c r="C456" t="s">
        <v>906</v>
      </c>
      <c r="D456" t="s">
        <v>552</v>
      </c>
      <c r="E456" t="s">
        <v>553</v>
      </c>
      <c r="F456">
        <v>2018</v>
      </c>
      <c r="G456" t="s">
        <v>614</v>
      </c>
    </row>
    <row r="457" spans="1:7" x14ac:dyDescent="0.3">
      <c r="A457" t="s">
        <v>122</v>
      </c>
      <c r="B457" s="1">
        <v>43449</v>
      </c>
      <c r="C457" t="s">
        <v>907</v>
      </c>
      <c r="D457" t="s">
        <v>552</v>
      </c>
      <c r="E457" t="s">
        <v>590</v>
      </c>
      <c r="F457">
        <v>2018</v>
      </c>
      <c r="G457" t="s">
        <v>550</v>
      </c>
    </row>
    <row r="458" spans="1:7" x14ac:dyDescent="0.3">
      <c r="A458" t="s">
        <v>201</v>
      </c>
      <c r="B458" s="1">
        <v>43350</v>
      </c>
      <c r="C458" t="s">
        <v>908</v>
      </c>
      <c r="D458" t="s">
        <v>587</v>
      </c>
      <c r="E458" t="s">
        <v>588</v>
      </c>
      <c r="F458">
        <v>2018</v>
      </c>
      <c r="G458" t="s">
        <v>583</v>
      </c>
    </row>
    <row r="459" spans="1:7" x14ac:dyDescent="0.3">
      <c r="A459" t="s">
        <v>382</v>
      </c>
      <c r="B459" s="1">
        <v>43159</v>
      </c>
      <c r="C459" t="s">
        <v>909</v>
      </c>
      <c r="D459" t="s">
        <v>581</v>
      </c>
      <c r="E459" t="s">
        <v>582</v>
      </c>
      <c r="F459">
        <v>2018</v>
      </c>
      <c r="G459" t="s">
        <v>544</v>
      </c>
    </row>
    <row r="460" spans="1:7" x14ac:dyDescent="0.3">
      <c r="A460" t="s">
        <v>270</v>
      </c>
      <c r="B460" s="1">
        <v>43383</v>
      </c>
      <c r="C460" t="s">
        <v>682</v>
      </c>
      <c r="D460" t="s">
        <v>596</v>
      </c>
      <c r="E460" t="s">
        <v>597</v>
      </c>
      <c r="F460">
        <v>2018</v>
      </c>
      <c r="G460" t="s">
        <v>563</v>
      </c>
    </row>
    <row r="461" spans="1:7" x14ac:dyDescent="0.3">
      <c r="A461" t="s">
        <v>269</v>
      </c>
      <c r="B461" s="1">
        <v>43391</v>
      </c>
      <c r="C461" t="s">
        <v>910</v>
      </c>
      <c r="D461" t="s">
        <v>610</v>
      </c>
      <c r="E461" t="s">
        <v>611</v>
      </c>
      <c r="F461">
        <v>2018</v>
      </c>
      <c r="G461" t="s">
        <v>563</v>
      </c>
    </row>
    <row r="462" spans="1:7" x14ac:dyDescent="0.3">
      <c r="A462" t="s">
        <v>266</v>
      </c>
      <c r="B462" s="1">
        <v>43180</v>
      </c>
      <c r="C462" t="s">
        <v>911</v>
      </c>
      <c r="D462" t="s">
        <v>548</v>
      </c>
      <c r="E462" t="s">
        <v>558</v>
      </c>
      <c r="F462">
        <v>2018</v>
      </c>
      <c r="G462" t="s">
        <v>541</v>
      </c>
    </row>
    <row r="463" spans="1:7" x14ac:dyDescent="0.3">
      <c r="A463" t="s">
        <v>39</v>
      </c>
      <c r="B463" s="1">
        <v>43358</v>
      </c>
      <c r="C463" t="s">
        <v>734</v>
      </c>
      <c r="D463" t="s">
        <v>552</v>
      </c>
      <c r="E463" t="s">
        <v>553</v>
      </c>
      <c r="F463">
        <v>2018</v>
      </c>
      <c r="G463" t="s">
        <v>583</v>
      </c>
    </row>
    <row r="464" spans="1:7" x14ac:dyDescent="0.3">
      <c r="A464" t="s">
        <v>517</v>
      </c>
      <c r="B464" s="1">
        <v>43163</v>
      </c>
      <c r="C464" t="s">
        <v>721</v>
      </c>
      <c r="D464" t="s">
        <v>548</v>
      </c>
      <c r="E464" t="s">
        <v>549</v>
      </c>
      <c r="F464">
        <v>2018</v>
      </c>
      <c r="G464" t="s">
        <v>541</v>
      </c>
    </row>
    <row r="465" spans="1:7" x14ac:dyDescent="0.3">
      <c r="A465" t="s">
        <v>353</v>
      </c>
      <c r="B465" s="1">
        <v>43266</v>
      </c>
      <c r="C465" t="s">
        <v>912</v>
      </c>
      <c r="D465" t="s">
        <v>552</v>
      </c>
      <c r="E465" t="s">
        <v>553</v>
      </c>
      <c r="F465">
        <v>2018</v>
      </c>
      <c r="G465" t="s">
        <v>585</v>
      </c>
    </row>
    <row r="466" spans="1:7" x14ac:dyDescent="0.3">
      <c r="A466" t="s">
        <v>431</v>
      </c>
      <c r="B466" s="1">
        <v>43282</v>
      </c>
      <c r="C466" t="s">
        <v>913</v>
      </c>
      <c r="D466" t="s">
        <v>661</v>
      </c>
      <c r="E466" t="s">
        <v>661</v>
      </c>
      <c r="F466">
        <v>2018</v>
      </c>
      <c r="G466" t="s">
        <v>614</v>
      </c>
    </row>
    <row r="467" spans="1:7" x14ac:dyDescent="0.3">
      <c r="A467" t="s">
        <v>460</v>
      </c>
      <c r="B467" s="1">
        <v>43312</v>
      </c>
      <c r="C467" t="s">
        <v>914</v>
      </c>
      <c r="D467" t="s">
        <v>548</v>
      </c>
      <c r="E467" t="s">
        <v>549</v>
      </c>
      <c r="F467">
        <v>2018</v>
      </c>
      <c r="G467" t="s">
        <v>614</v>
      </c>
    </row>
    <row r="468" spans="1:7" x14ac:dyDescent="0.3">
      <c r="A468" t="s">
        <v>22</v>
      </c>
      <c r="B468" s="1">
        <v>43296</v>
      </c>
      <c r="C468" t="s">
        <v>915</v>
      </c>
      <c r="D468" t="s">
        <v>587</v>
      </c>
      <c r="E468" t="s">
        <v>588</v>
      </c>
      <c r="F468">
        <v>2018</v>
      </c>
      <c r="G468" t="s">
        <v>614</v>
      </c>
    </row>
    <row r="469" spans="1:7" x14ac:dyDescent="0.3">
      <c r="A469" t="s">
        <v>464</v>
      </c>
      <c r="B469" s="1">
        <v>43445</v>
      </c>
      <c r="C469" t="s">
        <v>916</v>
      </c>
      <c r="D469" t="s">
        <v>552</v>
      </c>
      <c r="E469" t="s">
        <v>590</v>
      </c>
      <c r="F469">
        <v>2018</v>
      </c>
      <c r="G469" t="s">
        <v>550</v>
      </c>
    </row>
    <row r="470" spans="1:7" x14ac:dyDescent="0.3">
      <c r="A470" t="s">
        <v>260</v>
      </c>
      <c r="B470" s="1">
        <v>43293</v>
      </c>
      <c r="C470" t="s">
        <v>847</v>
      </c>
      <c r="D470" t="s">
        <v>552</v>
      </c>
      <c r="E470" t="s">
        <v>553</v>
      </c>
      <c r="F470">
        <v>2018</v>
      </c>
      <c r="G470" t="s">
        <v>614</v>
      </c>
    </row>
    <row r="471" spans="1:7" x14ac:dyDescent="0.3">
      <c r="A471" t="s">
        <v>352</v>
      </c>
      <c r="B471" s="1">
        <v>43144</v>
      </c>
      <c r="C471" t="s">
        <v>630</v>
      </c>
      <c r="D471" t="s">
        <v>552</v>
      </c>
      <c r="E471" t="s">
        <v>590</v>
      </c>
      <c r="F471">
        <v>2018</v>
      </c>
      <c r="G471" t="s">
        <v>544</v>
      </c>
    </row>
    <row r="472" spans="1:7" x14ac:dyDescent="0.3">
      <c r="A472" t="s">
        <v>351</v>
      </c>
      <c r="B472" s="1">
        <v>43161</v>
      </c>
      <c r="C472" t="s">
        <v>767</v>
      </c>
      <c r="D472" t="s">
        <v>661</v>
      </c>
      <c r="E472" t="s">
        <v>661</v>
      </c>
      <c r="F472">
        <v>2018</v>
      </c>
      <c r="G472" t="s">
        <v>541</v>
      </c>
    </row>
    <row r="473" spans="1:7" x14ac:dyDescent="0.3">
      <c r="A473" t="s">
        <v>179</v>
      </c>
      <c r="B473" s="1">
        <v>43225</v>
      </c>
      <c r="C473" t="s">
        <v>917</v>
      </c>
      <c r="D473" t="s">
        <v>605</v>
      </c>
      <c r="E473" t="s">
        <v>588</v>
      </c>
      <c r="F473">
        <v>2018</v>
      </c>
      <c r="G473" t="s">
        <v>624</v>
      </c>
    </row>
    <row r="474" spans="1:7" x14ac:dyDescent="0.3">
      <c r="A474" t="s">
        <v>257</v>
      </c>
      <c r="B474" s="1">
        <v>43234</v>
      </c>
      <c r="C474" t="s">
        <v>818</v>
      </c>
      <c r="D474" t="s">
        <v>607</v>
      </c>
      <c r="E474" t="s">
        <v>649</v>
      </c>
      <c r="F474">
        <v>2018</v>
      </c>
      <c r="G474" t="s">
        <v>624</v>
      </c>
    </row>
    <row r="475" spans="1:7" x14ac:dyDescent="0.3">
      <c r="A475" t="s">
        <v>36</v>
      </c>
      <c r="B475" s="1">
        <v>43248</v>
      </c>
      <c r="C475" t="s">
        <v>918</v>
      </c>
      <c r="D475" t="s">
        <v>561</v>
      </c>
      <c r="E475" t="s">
        <v>562</v>
      </c>
      <c r="F475">
        <v>2018</v>
      </c>
      <c r="G475" t="s">
        <v>624</v>
      </c>
    </row>
    <row r="476" spans="1:7" x14ac:dyDescent="0.3">
      <c r="A476" t="s">
        <v>376</v>
      </c>
      <c r="B476" s="1">
        <v>43212</v>
      </c>
      <c r="C476" t="s">
        <v>716</v>
      </c>
      <c r="D476" t="s">
        <v>610</v>
      </c>
      <c r="E476" t="s">
        <v>611</v>
      </c>
      <c r="F476">
        <v>2018</v>
      </c>
      <c r="G476" t="s">
        <v>565</v>
      </c>
    </row>
    <row r="477" spans="1:7" x14ac:dyDescent="0.3">
      <c r="A477" t="s">
        <v>435</v>
      </c>
      <c r="B477" s="1">
        <v>43432</v>
      </c>
      <c r="C477" t="s">
        <v>919</v>
      </c>
      <c r="D477" t="s">
        <v>548</v>
      </c>
      <c r="E477" t="s">
        <v>549</v>
      </c>
      <c r="F477">
        <v>2018</v>
      </c>
      <c r="G477" t="s">
        <v>567</v>
      </c>
    </row>
    <row r="478" spans="1:7" x14ac:dyDescent="0.3">
      <c r="A478" t="s">
        <v>52</v>
      </c>
      <c r="B478" s="1">
        <v>43217</v>
      </c>
      <c r="C478" t="s">
        <v>631</v>
      </c>
      <c r="D478" t="s">
        <v>632</v>
      </c>
      <c r="E478" t="s">
        <v>633</v>
      </c>
      <c r="F478">
        <v>2018</v>
      </c>
      <c r="G478" t="s">
        <v>565</v>
      </c>
    </row>
    <row r="479" spans="1:7" x14ac:dyDescent="0.3">
      <c r="A479" t="s">
        <v>264</v>
      </c>
      <c r="B479" s="1">
        <v>43405</v>
      </c>
      <c r="C479" t="s">
        <v>920</v>
      </c>
      <c r="D479" t="s">
        <v>548</v>
      </c>
      <c r="E479" t="s">
        <v>549</v>
      </c>
      <c r="F479">
        <v>2018</v>
      </c>
      <c r="G479" t="s">
        <v>567</v>
      </c>
    </row>
    <row r="480" spans="1:7" x14ac:dyDescent="0.3">
      <c r="A480" t="s">
        <v>374</v>
      </c>
      <c r="B480" s="1">
        <v>43127</v>
      </c>
      <c r="C480" t="s">
        <v>676</v>
      </c>
      <c r="D480" t="s">
        <v>607</v>
      </c>
      <c r="E480" t="s">
        <v>608</v>
      </c>
      <c r="F480">
        <v>2018</v>
      </c>
      <c r="G480" t="s">
        <v>546</v>
      </c>
    </row>
    <row r="481" spans="1:7" x14ac:dyDescent="0.3">
      <c r="A481" t="s">
        <v>254</v>
      </c>
      <c r="B481" s="1">
        <v>43144</v>
      </c>
      <c r="C481" t="s">
        <v>911</v>
      </c>
      <c r="D481" t="s">
        <v>548</v>
      </c>
      <c r="E481" t="s">
        <v>558</v>
      </c>
      <c r="F481">
        <v>2018</v>
      </c>
      <c r="G481" t="s">
        <v>544</v>
      </c>
    </row>
    <row r="482" spans="1:7" x14ac:dyDescent="0.3">
      <c r="A482" t="s">
        <v>115</v>
      </c>
      <c r="B482" s="1">
        <v>43151</v>
      </c>
      <c r="C482" t="s">
        <v>775</v>
      </c>
      <c r="D482" t="s">
        <v>569</v>
      </c>
      <c r="E482" t="s">
        <v>576</v>
      </c>
      <c r="F482">
        <v>2018</v>
      </c>
      <c r="G482" t="s">
        <v>544</v>
      </c>
    </row>
    <row r="483" spans="1:7" x14ac:dyDescent="0.3">
      <c r="A483" t="s">
        <v>367</v>
      </c>
      <c r="B483" s="1">
        <v>43178</v>
      </c>
      <c r="C483" t="s">
        <v>805</v>
      </c>
      <c r="D483" t="s">
        <v>641</v>
      </c>
      <c r="E483" t="s">
        <v>642</v>
      </c>
      <c r="F483">
        <v>2018</v>
      </c>
      <c r="G483" t="s">
        <v>541</v>
      </c>
    </row>
    <row r="484" spans="1:7" x14ac:dyDescent="0.3">
      <c r="A484" t="s">
        <v>199</v>
      </c>
      <c r="B484" s="1">
        <v>43221</v>
      </c>
      <c r="C484" t="s">
        <v>761</v>
      </c>
      <c r="D484" t="s">
        <v>578</v>
      </c>
      <c r="E484" t="s">
        <v>579</v>
      </c>
      <c r="F484">
        <v>2018</v>
      </c>
      <c r="G484" t="s">
        <v>624</v>
      </c>
    </row>
    <row r="485" spans="1:7" x14ac:dyDescent="0.3">
      <c r="A485" t="s">
        <v>68</v>
      </c>
      <c r="B485" s="1">
        <v>43253</v>
      </c>
      <c r="C485" t="s">
        <v>804</v>
      </c>
      <c r="D485" t="s">
        <v>632</v>
      </c>
      <c r="E485" t="s">
        <v>633</v>
      </c>
      <c r="F485">
        <v>2018</v>
      </c>
      <c r="G485" t="s">
        <v>585</v>
      </c>
    </row>
    <row r="486" spans="1:7" x14ac:dyDescent="0.3">
      <c r="A486" t="s">
        <v>481</v>
      </c>
      <c r="B486" s="1">
        <v>43335</v>
      </c>
      <c r="C486" t="s">
        <v>745</v>
      </c>
      <c r="D486" t="s">
        <v>711</v>
      </c>
      <c r="E486" t="s">
        <v>712</v>
      </c>
      <c r="F486">
        <v>2018</v>
      </c>
      <c r="G486" t="s">
        <v>554</v>
      </c>
    </row>
    <row r="487" spans="1:7" x14ac:dyDescent="0.3">
      <c r="A487" t="s">
        <v>109</v>
      </c>
      <c r="B487" s="1">
        <v>43171</v>
      </c>
      <c r="C487" t="s">
        <v>917</v>
      </c>
      <c r="D487" t="s">
        <v>605</v>
      </c>
      <c r="E487" t="s">
        <v>588</v>
      </c>
      <c r="F487">
        <v>2018</v>
      </c>
      <c r="G487" t="s">
        <v>541</v>
      </c>
    </row>
    <row r="488" spans="1:7" x14ac:dyDescent="0.3">
      <c r="A488" t="s">
        <v>211</v>
      </c>
      <c r="B488" s="1">
        <v>43215</v>
      </c>
      <c r="C488" t="s">
        <v>909</v>
      </c>
      <c r="D488" t="s">
        <v>581</v>
      </c>
      <c r="E488" t="s">
        <v>582</v>
      </c>
      <c r="F488">
        <v>2018</v>
      </c>
      <c r="G488" t="s">
        <v>565</v>
      </c>
    </row>
    <row r="489" spans="1:7" x14ac:dyDescent="0.3">
      <c r="A489" t="s">
        <v>235</v>
      </c>
      <c r="B489" s="1">
        <v>43181</v>
      </c>
      <c r="C489" t="s">
        <v>760</v>
      </c>
      <c r="D489" t="s">
        <v>610</v>
      </c>
      <c r="E489" t="s">
        <v>611</v>
      </c>
      <c r="F489">
        <v>2018</v>
      </c>
      <c r="G489" t="s">
        <v>541</v>
      </c>
    </row>
    <row r="490" spans="1:7" x14ac:dyDescent="0.3">
      <c r="A490" t="s">
        <v>459</v>
      </c>
      <c r="B490" s="1">
        <v>43248</v>
      </c>
      <c r="C490" t="s">
        <v>655</v>
      </c>
      <c r="D490" t="s">
        <v>548</v>
      </c>
      <c r="E490" t="s">
        <v>558</v>
      </c>
      <c r="F490">
        <v>2018</v>
      </c>
      <c r="G490" t="s">
        <v>624</v>
      </c>
    </row>
    <row r="491" spans="1:7" x14ac:dyDescent="0.3">
      <c r="A491" t="s">
        <v>369</v>
      </c>
      <c r="B491" s="1">
        <v>43121</v>
      </c>
      <c r="C491" t="s">
        <v>921</v>
      </c>
      <c r="D491" t="s">
        <v>632</v>
      </c>
      <c r="E491" t="s">
        <v>633</v>
      </c>
      <c r="F491">
        <v>2018</v>
      </c>
      <c r="G491" t="s">
        <v>546</v>
      </c>
    </row>
    <row r="492" spans="1:7" x14ac:dyDescent="0.3">
      <c r="A492" t="s">
        <v>203</v>
      </c>
      <c r="B492" s="1">
        <v>43308</v>
      </c>
      <c r="C492" t="s">
        <v>922</v>
      </c>
      <c r="D492" t="s">
        <v>610</v>
      </c>
      <c r="E492" t="s">
        <v>611</v>
      </c>
      <c r="F492">
        <v>2018</v>
      </c>
      <c r="G492" t="s">
        <v>614</v>
      </c>
    </row>
    <row r="493" spans="1:7" x14ac:dyDescent="0.3">
      <c r="A493" t="s">
        <v>104</v>
      </c>
      <c r="B493" s="1">
        <v>43402</v>
      </c>
      <c r="C493" t="s">
        <v>923</v>
      </c>
      <c r="D493" t="s">
        <v>561</v>
      </c>
      <c r="E493" t="s">
        <v>562</v>
      </c>
      <c r="F493">
        <v>2018</v>
      </c>
      <c r="G493" t="s">
        <v>563</v>
      </c>
    </row>
    <row r="494" spans="1:7" x14ac:dyDescent="0.3">
      <c r="A494" t="s">
        <v>96</v>
      </c>
      <c r="B494" s="1">
        <v>43358</v>
      </c>
      <c r="C494" t="s">
        <v>924</v>
      </c>
      <c r="D494" t="s">
        <v>607</v>
      </c>
      <c r="E494" t="s">
        <v>649</v>
      </c>
      <c r="F494">
        <v>2018</v>
      </c>
      <c r="G494" t="s">
        <v>583</v>
      </c>
    </row>
    <row r="495" spans="1:7" x14ac:dyDescent="0.3">
      <c r="A495" t="s">
        <v>92</v>
      </c>
      <c r="B495" s="1">
        <v>43129</v>
      </c>
      <c r="C495" t="s">
        <v>925</v>
      </c>
      <c r="D495" t="s">
        <v>543</v>
      </c>
      <c r="E495" t="s">
        <v>543</v>
      </c>
      <c r="F495">
        <v>2018</v>
      </c>
      <c r="G495" t="s">
        <v>546</v>
      </c>
    </row>
    <row r="496" spans="1:7" x14ac:dyDescent="0.3">
      <c r="A496" t="s">
        <v>91</v>
      </c>
      <c r="B496" s="1">
        <v>43364</v>
      </c>
      <c r="C496" t="s">
        <v>926</v>
      </c>
      <c r="D496" t="s">
        <v>626</v>
      </c>
      <c r="E496" t="s">
        <v>627</v>
      </c>
      <c r="F496">
        <v>2018</v>
      </c>
      <c r="G496" t="s">
        <v>583</v>
      </c>
    </row>
    <row r="497" spans="1:7" x14ac:dyDescent="0.3">
      <c r="A497" t="s">
        <v>195</v>
      </c>
      <c r="B497" s="1">
        <v>43315</v>
      </c>
      <c r="C497" t="s">
        <v>927</v>
      </c>
      <c r="D497" t="s">
        <v>661</v>
      </c>
      <c r="E497" t="s">
        <v>661</v>
      </c>
      <c r="F497">
        <v>2018</v>
      </c>
      <c r="G497" t="s">
        <v>554</v>
      </c>
    </row>
    <row r="498" spans="1:7" x14ac:dyDescent="0.3">
      <c r="A498" t="s">
        <v>240</v>
      </c>
      <c r="B498" s="1">
        <v>43185</v>
      </c>
      <c r="C498" t="s">
        <v>834</v>
      </c>
      <c r="D498" t="s">
        <v>711</v>
      </c>
      <c r="E498" t="s">
        <v>712</v>
      </c>
      <c r="F498">
        <v>2018</v>
      </c>
      <c r="G498" t="s">
        <v>541</v>
      </c>
    </row>
    <row r="499" spans="1:7" x14ac:dyDescent="0.3">
      <c r="A499" t="s">
        <v>51</v>
      </c>
      <c r="B499" s="1">
        <v>43282</v>
      </c>
      <c r="C499" t="s">
        <v>860</v>
      </c>
      <c r="D499" t="s">
        <v>548</v>
      </c>
      <c r="E499" t="s">
        <v>549</v>
      </c>
      <c r="F499">
        <v>2018</v>
      </c>
      <c r="G499" t="s">
        <v>614</v>
      </c>
    </row>
    <row r="500" spans="1:7" x14ac:dyDescent="0.3">
      <c r="A500" t="s">
        <v>65</v>
      </c>
      <c r="B500" s="1">
        <v>43334</v>
      </c>
      <c r="C500" t="s">
        <v>715</v>
      </c>
      <c r="D500" t="s">
        <v>581</v>
      </c>
      <c r="E500" t="s">
        <v>582</v>
      </c>
      <c r="F500">
        <v>2018</v>
      </c>
      <c r="G500" t="s">
        <v>554</v>
      </c>
    </row>
    <row r="501" spans="1:7" x14ac:dyDescent="0.3">
      <c r="A501" t="s">
        <v>79</v>
      </c>
      <c r="B501" s="1">
        <v>43187</v>
      </c>
      <c r="C501" t="s">
        <v>741</v>
      </c>
      <c r="D501" t="s">
        <v>607</v>
      </c>
      <c r="E501" t="s">
        <v>649</v>
      </c>
      <c r="F501">
        <v>2018</v>
      </c>
      <c r="G501" t="s">
        <v>541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1568-5FF7-48AA-9C07-AC893A6E6395}">
  <dimension ref="A1:AE1501"/>
  <sheetViews>
    <sheetView topLeftCell="P1" zoomScale="103" zoomScaleNormal="68" workbookViewId="0">
      <selection activeCell="AA14" sqref="AA14"/>
    </sheetView>
  </sheetViews>
  <sheetFormatPr defaultRowHeight="14.4" x14ac:dyDescent="0.3"/>
  <cols>
    <col min="1" max="1" width="12" bestFit="1" customWidth="1"/>
    <col min="2" max="2" width="11.6640625" bestFit="1" customWidth="1"/>
    <col min="3" max="3" width="9.44140625" bestFit="1" customWidth="1"/>
    <col min="4" max="4" width="14.77734375" bestFit="1" customWidth="1"/>
    <col min="5" max="5" width="15" bestFit="1" customWidth="1"/>
    <col min="6" max="6" width="12.21875" bestFit="1" customWidth="1"/>
    <col min="7" max="7" width="9.109375" bestFit="1" customWidth="1"/>
    <col min="8" max="8" width="12.33203125" bestFit="1" customWidth="1"/>
    <col min="9" max="9" width="16.77734375" bestFit="1" customWidth="1"/>
    <col min="10" max="10" width="17.5546875" bestFit="1" customWidth="1"/>
    <col min="11" max="11" width="19.44140625" bestFit="1" customWidth="1"/>
    <col min="12" max="12" width="23.33203125" bestFit="1" customWidth="1"/>
    <col min="16" max="16" width="19.6640625" bestFit="1" customWidth="1"/>
    <col min="17" max="17" width="11" customWidth="1"/>
    <col min="19" max="19" width="23.44140625" bestFit="1" customWidth="1"/>
    <col min="20" max="20" width="9.6640625" customWidth="1"/>
    <col min="22" max="22" width="10.33203125" customWidth="1"/>
    <col min="23" max="23" width="10.44140625" bestFit="1" customWidth="1"/>
    <col min="24" max="24" width="10.33203125" customWidth="1"/>
    <col min="25" max="25" width="21.6640625" bestFit="1" customWidth="1"/>
    <col min="27" max="27" width="11.21875" bestFit="1" customWidth="1"/>
    <col min="28" max="28" width="9.109375" bestFit="1" customWidth="1"/>
    <col min="30" max="30" width="11.21875" bestFit="1" customWidth="1"/>
    <col min="31" max="31" width="7.664062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928</v>
      </c>
      <c r="E1" t="s">
        <v>929</v>
      </c>
      <c r="F1" t="s">
        <v>3</v>
      </c>
      <c r="G1" t="s">
        <v>933</v>
      </c>
      <c r="H1" t="s">
        <v>4</v>
      </c>
      <c r="I1" t="s">
        <v>5</v>
      </c>
      <c r="J1" t="s">
        <v>6</v>
      </c>
      <c r="K1" t="s">
        <v>930</v>
      </c>
      <c r="L1" t="s">
        <v>931</v>
      </c>
      <c r="P1" t="s">
        <v>947</v>
      </c>
      <c r="Q1" t="s">
        <v>948</v>
      </c>
      <c r="S1" t="s">
        <v>4</v>
      </c>
      <c r="T1" t="s">
        <v>2</v>
      </c>
      <c r="V1" t="s">
        <v>949</v>
      </c>
      <c r="W1" s="1" t="s">
        <v>950</v>
      </c>
      <c r="X1" t="s">
        <v>933</v>
      </c>
      <c r="Y1" t="s">
        <v>951</v>
      </c>
      <c r="AA1" t="s">
        <v>953</v>
      </c>
      <c r="AB1" t="s">
        <v>952</v>
      </c>
      <c r="AD1" t="s">
        <v>953</v>
      </c>
      <c r="AE1" t="s">
        <v>2</v>
      </c>
    </row>
    <row r="2" spans="1:31" x14ac:dyDescent="0.3">
      <c r="A2" t="s">
        <v>7</v>
      </c>
      <c r="B2">
        <v>102</v>
      </c>
      <c r="C2">
        <v>-90</v>
      </c>
      <c r="D2">
        <v>102</v>
      </c>
      <c r="E2">
        <f>SUM(Details[[#This Row],[Actual_Cost]],Details[[#This Row],[Profit]])</f>
        <v>12</v>
      </c>
      <c r="F2">
        <v>1</v>
      </c>
      <c r="G2">
        <f>PRODUCT(Details[[#This Row],[Selling_Cost]],Details[[#This Row],[Quantity]])</f>
        <v>12</v>
      </c>
      <c r="H2" t="s">
        <v>8</v>
      </c>
      <c r="I2" t="s">
        <v>9</v>
      </c>
      <c r="J2" t="s">
        <v>10</v>
      </c>
      <c r="K2" t="s">
        <v>539</v>
      </c>
      <c r="L2" t="s">
        <v>554</v>
      </c>
      <c r="P2" t="s">
        <v>940</v>
      </c>
      <c r="Q2">
        <f>COUNTA(Details[Order ID])</f>
        <v>1500</v>
      </c>
      <c r="S2" t="s">
        <v>8</v>
      </c>
      <c r="T2">
        <f>SUMIFS(C2:C100000, H2:H100000, S2)</f>
        <v>13325</v>
      </c>
      <c r="V2">
        <v>1</v>
      </c>
      <c r="W2" s="1" t="s">
        <v>546</v>
      </c>
      <c r="X2">
        <f>SUMIFS(G:G, L:L, W2)</f>
        <v>2532419</v>
      </c>
      <c r="AA2" t="s">
        <v>10</v>
      </c>
      <c r="AB2" s="3">
        <v>4547690</v>
      </c>
      <c r="AD2" t="s">
        <v>10</v>
      </c>
      <c r="AE2" s="3">
        <v>3286</v>
      </c>
    </row>
    <row r="3" spans="1:31" x14ac:dyDescent="0.3">
      <c r="A3" t="s">
        <v>11</v>
      </c>
      <c r="B3">
        <v>76</v>
      </c>
      <c r="C3">
        <v>-50</v>
      </c>
      <c r="D3">
        <v>76</v>
      </c>
      <c r="E3">
        <f>SUM(Details[[#This Row],[Actual_Cost]],Details[[#This Row],[Profit]])</f>
        <v>26</v>
      </c>
      <c r="F3">
        <v>1</v>
      </c>
      <c r="G3">
        <f>PRODUCT(Details[[#This Row],[Selling_Cost]],Details[[#This Row],[Quantity]])</f>
        <v>26</v>
      </c>
      <c r="H3" t="s">
        <v>8</v>
      </c>
      <c r="I3" t="s">
        <v>9</v>
      </c>
      <c r="J3" t="s">
        <v>10</v>
      </c>
      <c r="K3" t="s">
        <v>548</v>
      </c>
      <c r="L3" t="s">
        <v>585</v>
      </c>
      <c r="P3" t="s">
        <v>932</v>
      </c>
      <c r="Q3">
        <v>14303928</v>
      </c>
      <c r="S3" t="s">
        <v>13</v>
      </c>
      <c r="T3">
        <f>SUMIFS(C3:C100001, H3:H100001, S3)</f>
        <v>13162</v>
      </c>
      <c r="V3">
        <v>2</v>
      </c>
      <c r="W3" s="1" t="s">
        <v>544</v>
      </c>
      <c r="X3">
        <f>SUMIFS(G:G, L:L, W3)</f>
        <v>1098779</v>
      </c>
      <c r="Y3">
        <f>(X3-X2)/X2</f>
        <v>-0.56611484908303089</v>
      </c>
      <c r="AA3" t="s">
        <v>18</v>
      </c>
      <c r="AB3" s="3">
        <v>1648193</v>
      </c>
      <c r="AD3" t="s">
        <v>18</v>
      </c>
      <c r="AE3" s="3">
        <v>3694</v>
      </c>
    </row>
    <row r="4" spans="1:31" x14ac:dyDescent="0.3">
      <c r="A4" t="s">
        <v>12</v>
      </c>
      <c r="B4">
        <v>72</v>
      </c>
      <c r="C4">
        <v>-49</v>
      </c>
      <c r="D4">
        <v>72</v>
      </c>
      <c r="E4">
        <f>SUM(Details[[#This Row],[Actual_Cost]],Details[[#This Row],[Profit]])</f>
        <v>23</v>
      </c>
      <c r="F4">
        <v>1</v>
      </c>
      <c r="G4">
        <f>PRODUCT(Details[[#This Row],[Selling_Cost]],Details[[#This Row],[Quantity]])</f>
        <v>23</v>
      </c>
      <c r="H4" t="s">
        <v>13</v>
      </c>
      <c r="I4" t="s">
        <v>14</v>
      </c>
      <c r="J4" t="s">
        <v>10</v>
      </c>
      <c r="K4" t="s">
        <v>552</v>
      </c>
      <c r="L4" t="s">
        <v>585</v>
      </c>
      <c r="P4" t="s">
        <v>934</v>
      </c>
      <c r="Q4">
        <v>36963</v>
      </c>
      <c r="S4" t="s">
        <v>16</v>
      </c>
      <c r="T4">
        <f>SUMIFS(C4:C100002, H4:H100002, S4)</f>
        <v>10476</v>
      </c>
      <c r="V4">
        <v>3</v>
      </c>
      <c r="W4" s="1" t="s">
        <v>541</v>
      </c>
      <c r="X4">
        <f>SUMIFS(G:G, L:L, W4)</f>
        <v>2482743</v>
      </c>
      <c r="Y4">
        <f t="shared" ref="Y4:Y13" si="0">(X4-X3)/X3</f>
        <v>1.2595471882880906</v>
      </c>
      <c r="AA4" t="s">
        <v>42</v>
      </c>
      <c r="AB4" s="3">
        <v>1053636</v>
      </c>
      <c r="AD4" t="s">
        <v>42</v>
      </c>
      <c r="AE4" s="3">
        <v>4824</v>
      </c>
    </row>
    <row r="5" spans="1:31" x14ac:dyDescent="0.3">
      <c r="A5" t="s">
        <v>15</v>
      </c>
      <c r="B5">
        <v>83</v>
      </c>
      <c r="C5">
        <v>-48</v>
      </c>
      <c r="D5">
        <v>83</v>
      </c>
      <c r="E5">
        <f>SUM(Details[[#This Row],[Actual_Cost]],Details[[#This Row],[Profit]])</f>
        <v>35</v>
      </c>
      <c r="F5">
        <v>1</v>
      </c>
      <c r="G5">
        <f>PRODUCT(Details[[#This Row],[Selling_Cost]],Details[[#This Row],[Quantity]])</f>
        <v>35</v>
      </c>
      <c r="H5" t="s">
        <v>16</v>
      </c>
      <c r="I5" t="s">
        <v>17</v>
      </c>
      <c r="J5" t="s">
        <v>18</v>
      </c>
      <c r="K5" t="s">
        <v>578</v>
      </c>
      <c r="L5" t="s">
        <v>624</v>
      </c>
      <c r="P5" t="s">
        <v>935</v>
      </c>
      <c r="Q5">
        <f>SUM(F:F)</f>
        <v>5615</v>
      </c>
      <c r="V5">
        <v>4</v>
      </c>
      <c r="W5" s="1" t="s">
        <v>565</v>
      </c>
      <c r="X5">
        <f>SUMIFS(G:G, L:L, W5)</f>
        <v>1112543</v>
      </c>
      <c r="Y5">
        <f t="shared" si="0"/>
        <v>-0.55188958341640681</v>
      </c>
      <c r="AA5" t="s">
        <v>27</v>
      </c>
      <c r="AB5" s="3">
        <v>2677472</v>
      </c>
      <c r="AD5" t="s">
        <v>27</v>
      </c>
      <c r="AE5" s="3">
        <v>12547</v>
      </c>
    </row>
    <row r="6" spans="1:31" x14ac:dyDescent="0.3">
      <c r="A6" t="s">
        <v>19</v>
      </c>
      <c r="B6">
        <v>133</v>
      </c>
      <c r="C6">
        <v>-42</v>
      </c>
      <c r="D6">
        <v>133</v>
      </c>
      <c r="E6">
        <f>SUM(Details[[#This Row],[Actual_Cost]],Details[[#This Row],[Profit]])</f>
        <v>91</v>
      </c>
      <c r="F6">
        <v>1</v>
      </c>
      <c r="G6">
        <f>PRODUCT(Details[[#This Row],[Selling_Cost]],Details[[#This Row],[Quantity]])</f>
        <v>91</v>
      </c>
      <c r="H6" t="s">
        <v>13</v>
      </c>
      <c r="I6" t="s">
        <v>20</v>
      </c>
      <c r="J6" t="s">
        <v>18</v>
      </c>
      <c r="K6" t="s">
        <v>552</v>
      </c>
      <c r="L6" t="s">
        <v>624</v>
      </c>
      <c r="P6" t="s">
        <v>938</v>
      </c>
      <c r="Q6" s="4">
        <f>Q4/Q3</f>
        <v>2.5841153562853503E-3</v>
      </c>
      <c r="V6">
        <v>5</v>
      </c>
      <c r="W6" s="1" t="s">
        <v>624</v>
      </c>
      <c r="X6">
        <f>SUMIFS(G:G, L:L, W6)</f>
        <v>834070</v>
      </c>
      <c r="Y6">
        <f t="shared" si="0"/>
        <v>-0.25030313435076218</v>
      </c>
      <c r="AA6" t="s">
        <v>125</v>
      </c>
      <c r="AB6" s="3">
        <v>4376937</v>
      </c>
      <c r="AD6" t="s">
        <v>125</v>
      </c>
      <c r="AE6" s="3">
        <v>12612</v>
      </c>
    </row>
    <row r="7" spans="1:31" x14ac:dyDescent="0.3">
      <c r="A7" t="s">
        <v>21</v>
      </c>
      <c r="B7">
        <v>327</v>
      </c>
      <c r="C7">
        <v>-39</v>
      </c>
      <c r="D7">
        <v>327</v>
      </c>
      <c r="E7">
        <f>SUM(Details[[#This Row],[Actual_Cost]],Details[[#This Row],[Profit]])</f>
        <v>288</v>
      </c>
      <c r="F7">
        <v>1</v>
      </c>
      <c r="G7">
        <f>PRODUCT(Details[[#This Row],[Selling_Cost]],Details[[#This Row],[Quantity]])</f>
        <v>288</v>
      </c>
      <c r="H7" t="s">
        <v>13</v>
      </c>
      <c r="I7" t="s">
        <v>14</v>
      </c>
      <c r="J7" t="s">
        <v>10</v>
      </c>
      <c r="K7" t="s">
        <v>610</v>
      </c>
      <c r="L7" t="s">
        <v>585</v>
      </c>
      <c r="P7" t="s">
        <v>939</v>
      </c>
      <c r="Q7">
        <v>9535.9519999999993</v>
      </c>
      <c r="V7">
        <v>6</v>
      </c>
      <c r="W7" s="1" t="s">
        <v>585</v>
      </c>
      <c r="X7">
        <f>SUMIFS(G:G, L:L, W7)</f>
        <v>645581</v>
      </c>
      <c r="Y7">
        <f t="shared" si="0"/>
        <v>-0.22598702746771854</v>
      </c>
    </row>
    <row r="8" spans="1:31" x14ac:dyDescent="0.3">
      <c r="A8" t="s">
        <v>22</v>
      </c>
      <c r="B8">
        <v>30</v>
      </c>
      <c r="C8">
        <v>-35</v>
      </c>
      <c r="D8">
        <v>30</v>
      </c>
      <c r="E8">
        <f>SUM(Details[[#This Row],[Actual_Cost]],Details[[#This Row],[Profit]])</f>
        <v>-5</v>
      </c>
      <c r="F8">
        <v>1</v>
      </c>
      <c r="G8">
        <f>PRODUCT(Details[[#This Row],[Selling_Cost]],Details[[#This Row],[Quantity]])</f>
        <v>-5</v>
      </c>
      <c r="H8" t="s">
        <v>16</v>
      </c>
      <c r="I8" t="s">
        <v>23</v>
      </c>
      <c r="J8" t="s">
        <v>10</v>
      </c>
      <c r="K8" t="s">
        <v>587</v>
      </c>
      <c r="L8" t="s">
        <v>614</v>
      </c>
      <c r="P8" t="s">
        <v>941</v>
      </c>
      <c r="Q8">
        <f>COUNTIF(C2:C100000,"&gt;0")</f>
        <v>924</v>
      </c>
      <c r="V8">
        <v>7</v>
      </c>
      <c r="W8" s="1" t="s">
        <v>614</v>
      </c>
      <c r="X8">
        <f>SUMIFS(G:G, L:L, W8)</f>
        <v>248747</v>
      </c>
      <c r="Y8">
        <f t="shared" si="0"/>
        <v>-0.6146928115914192</v>
      </c>
    </row>
    <row r="9" spans="1:31" x14ac:dyDescent="0.3">
      <c r="A9" t="s">
        <v>24</v>
      </c>
      <c r="B9">
        <v>73</v>
      </c>
      <c r="C9">
        <v>-31</v>
      </c>
      <c r="D9">
        <v>73</v>
      </c>
      <c r="E9">
        <f>SUM(Details[[#This Row],[Actual_Cost]],Details[[#This Row],[Profit]])</f>
        <v>42</v>
      </c>
      <c r="F9">
        <v>1</v>
      </c>
      <c r="G9">
        <f>PRODUCT(Details[[#This Row],[Selling_Cost]],Details[[#This Row],[Quantity]])</f>
        <v>42</v>
      </c>
      <c r="H9" t="s">
        <v>16</v>
      </c>
      <c r="I9" t="s">
        <v>17</v>
      </c>
      <c r="J9" t="s">
        <v>10</v>
      </c>
      <c r="K9" t="s">
        <v>552</v>
      </c>
      <c r="L9" t="s">
        <v>554</v>
      </c>
      <c r="P9" t="s">
        <v>942</v>
      </c>
      <c r="Q9">
        <f>1500-924</f>
        <v>576</v>
      </c>
      <c r="V9">
        <v>8</v>
      </c>
      <c r="W9" s="1" t="s">
        <v>554</v>
      </c>
      <c r="X9">
        <f>SUMIFS(G:G, L:L, W9)</f>
        <v>922632</v>
      </c>
      <c r="Y9">
        <f t="shared" si="0"/>
        <v>2.709118099916783</v>
      </c>
    </row>
    <row r="10" spans="1:31" x14ac:dyDescent="0.3">
      <c r="A10" t="s">
        <v>25</v>
      </c>
      <c r="B10">
        <v>24</v>
      </c>
      <c r="C10">
        <v>-30</v>
      </c>
      <c r="D10">
        <v>24</v>
      </c>
      <c r="E10">
        <f>SUM(Details[[#This Row],[Actual_Cost]],Details[[#This Row],[Profit]])</f>
        <v>-6</v>
      </c>
      <c r="F10">
        <v>1</v>
      </c>
      <c r="G10">
        <f>PRODUCT(Details[[#This Row],[Selling_Cost]],Details[[#This Row],[Quantity]])</f>
        <v>-6</v>
      </c>
      <c r="H10" t="s">
        <v>16</v>
      </c>
      <c r="I10" t="s">
        <v>23</v>
      </c>
      <c r="J10" t="s">
        <v>10</v>
      </c>
      <c r="K10" t="s">
        <v>552</v>
      </c>
      <c r="L10" t="s">
        <v>565</v>
      </c>
      <c r="V10">
        <v>9</v>
      </c>
      <c r="W10" s="1" t="s">
        <v>583</v>
      </c>
      <c r="X10">
        <f>SUMIFS(G:G, L:L, W10)</f>
        <v>789295</v>
      </c>
      <c r="Y10">
        <f t="shared" si="0"/>
        <v>-0.1445180743785171</v>
      </c>
    </row>
    <row r="11" spans="1:31" x14ac:dyDescent="0.3">
      <c r="A11" t="s">
        <v>12</v>
      </c>
      <c r="B11">
        <v>68</v>
      </c>
      <c r="C11">
        <v>-30</v>
      </c>
      <c r="D11">
        <v>68</v>
      </c>
      <c r="E11">
        <f>SUM(Details[[#This Row],[Actual_Cost]],Details[[#This Row],[Profit]])</f>
        <v>38</v>
      </c>
      <c r="F11">
        <v>1</v>
      </c>
      <c r="G11">
        <f>PRODUCT(Details[[#This Row],[Selling_Cost]],Details[[#This Row],[Quantity]])</f>
        <v>38</v>
      </c>
      <c r="H11" t="s">
        <v>13</v>
      </c>
      <c r="I11" t="s">
        <v>14</v>
      </c>
      <c r="J11" t="s">
        <v>18</v>
      </c>
      <c r="K11" t="s">
        <v>552</v>
      </c>
      <c r="L11" t="s">
        <v>585</v>
      </c>
      <c r="V11">
        <v>10</v>
      </c>
      <c r="W11" s="1" t="s">
        <v>563</v>
      </c>
      <c r="X11">
        <f>SUMIFS(G:G, L:L, W11)</f>
        <v>1320847</v>
      </c>
      <c r="Y11">
        <f t="shared" si="0"/>
        <v>0.67345162455102336</v>
      </c>
    </row>
    <row r="12" spans="1:31" x14ac:dyDescent="0.3">
      <c r="A12" t="s">
        <v>26</v>
      </c>
      <c r="B12">
        <v>33</v>
      </c>
      <c r="C12">
        <v>-27</v>
      </c>
      <c r="D12">
        <v>33</v>
      </c>
      <c r="E12">
        <f>SUM(Details[[#This Row],[Actual_Cost]],Details[[#This Row],[Profit]])</f>
        <v>6</v>
      </c>
      <c r="F12">
        <v>1</v>
      </c>
      <c r="G12">
        <f>PRODUCT(Details[[#This Row],[Selling_Cost]],Details[[#This Row],[Quantity]])</f>
        <v>6</v>
      </c>
      <c r="H12" t="s">
        <v>16</v>
      </c>
      <c r="I12" t="s">
        <v>23</v>
      </c>
      <c r="J12" t="s">
        <v>27</v>
      </c>
      <c r="K12" t="s">
        <v>552</v>
      </c>
      <c r="L12" t="s">
        <v>554</v>
      </c>
      <c r="V12">
        <v>11</v>
      </c>
      <c r="W12" s="1" t="s">
        <v>567</v>
      </c>
      <c r="X12">
        <f>SUMIFS(G:G, L:L, W12)</f>
        <v>1467740</v>
      </c>
      <c r="Y12">
        <f t="shared" si="0"/>
        <v>0.11121121522780458</v>
      </c>
    </row>
    <row r="13" spans="1:31" x14ac:dyDescent="0.3">
      <c r="A13" t="s">
        <v>28</v>
      </c>
      <c r="B13">
        <v>26</v>
      </c>
      <c r="C13">
        <v>-24</v>
      </c>
      <c r="D13">
        <v>26</v>
      </c>
      <c r="E13">
        <f>SUM(Details[[#This Row],[Actual_Cost]],Details[[#This Row],[Profit]])</f>
        <v>2</v>
      </c>
      <c r="F13">
        <v>1</v>
      </c>
      <c r="G13">
        <f>PRODUCT(Details[[#This Row],[Selling_Cost]],Details[[#This Row],[Quantity]])</f>
        <v>2</v>
      </c>
      <c r="H13" t="s">
        <v>8</v>
      </c>
      <c r="I13" t="s">
        <v>29</v>
      </c>
      <c r="J13" t="s">
        <v>10</v>
      </c>
      <c r="K13" t="s">
        <v>548</v>
      </c>
      <c r="L13" t="s">
        <v>614</v>
      </c>
      <c r="V13">
        <v>12</v>
      </c>
      <c r="W13" s="1" t="s">
        <v>550</v>
      </c>
      <c r="X13">
        <f>SUMIFS(G:G, L:L, W13)</f>
        <v>848532</v>
      </c>
      <c r="Y13">
        <f t="shared" si="0"/>
        <v>-0.42187853434532002</v>
      </c>
    </row>
    <row r="14" spans="1:31" x14ac:dyDescent="0.3">
      <c r="A14" t="s">
        <v>30</v>
      </c>
      <c r="B14">
        <v>100</v>
      </c>
      <c r="C14">
        <v>-23</v>
      </c>
      <c r="D14">
        <v>100</v>
      </c>
      <c r="E14">
        <f>SUM(Details[[#This Row],[Actual_Cost]],Details[[#This Row],[Profit]])</f>
        <v>77</v>
      </c>
      <c r="F14">
        <v>1</v>
      </c>
      <c r="G14">
        <f>PRODUCT(Details[[#This Row],[Selling_Cost]],Details[[#This Row],[Quantity]])</f>
        <v>77</v>
      </c>
      <c r="H14" t="s">
        <v>13</v>
      </c>
      <c r="I14" t="s">
        <v>14</v>
      </c>
      <c r="J14" t="s">
        <v>10</v>
      </c>
      <c r="K14" t="s">
        <v>587</v>
      </c>
      <c r="L14" t="s">
        <v>624</v>
      </c>
    </row>
    <row r="15" spans="1:31" x14ac:dyDescent="0.3">
      <c r="A15" t="s">
        <v>31</v>
      </c>
      <c r="B15">
        <v>20</v>
      </c>
      <c r="C15">
        <v>-22</v>
      </c>
      <c r="D15">
        <v>20</v>
      </c>
      <c r="E15">
        <f>SUM(Details[[#This Row],[Actual_Cost]],Details[[#This Row],[Profit]])</f>
        <v>-2</v>
      </c>
      <c r="F15">
        <v>1</v>
      </c>
      <c r="G15">
        <f>PRODUCT(Details[[#This Row],[Selling_Cost]],Details[[#This Row],[Quantity]])</f>
        <v>-2</v>
      </c>
      <c r="H15" t="s">
        <v>16</v>
      </c>
      <c r="I15" t="s">
        <v>32</v>
      </c>
      <c r="J15" t="s">
        <v>18</v>
      </c>
      <c r="K15" t="s">
        <v>539</v>
      </c>
      <c r="L15" t="s">
        <v>585</v>
      </c>
    </row>
    <row r="16" spans="1:31" x14ac:dyDescent="0.3">
      <c r="A16" t="s">
        <v>33</v>
      </c>
      <c r="B16">
        <v>86</v>
      </c>
      <c r="C16">
        <v>-21</v>
      </c>
      <c r="D16">
        <v>86</v>
      </c>
      <c r="E16">
        <f>SUM(Details[[#This Row],[Actual_Cost]],Details[[#This Row],[Profit]])</f>
        <v>65</v>
      </c>
      <c r="F16">
        <v>1</v>
      </c>
      <c r="G16">
        <f>PRODUCT(Details[[#This Row],[Selling_Cost]],Details[[#This Row],[Quantity]])</f>
        <v>65</v>
      </c>
      <c r="H16" t="s">
        <v>13</v>
      </c>
      <c r="I16" t="s">
        <v>34</v>
      </c>
      <c r="J16" t="s">
        <v>18</v>
      </c>
      <c r="K16" t="s">
        <v>548</v>
      </c>
      <c r="L16" t="s">
        <v>624</v>
      </c>
    </row>
    <row r="17" spans="1:12" x14ac:dyDescent="0.3">
      <c r="A17" t="s">
        <v>35</v>
      </c>
      <c r="B17">
        <v>26</v>
      </c>
      <c r="C17">
        <v>-17</v>
      </c>
      <c r="D17">
        <v>26</v>
      </c>
      <c r="E17">
        <f>SUM(Details[[#This Row],[Actual_Cost]],Details[[#This Row],[Profit]])</f>
        <v>9</v>
      </c>
      <c r="F17">
        <v>1</v>
      </c>
      <c r="G17">
        <f>PRODUCT(Details[[#This Row],[Selling_Cost]],Details[[#This Row],[Quantity]])</f>
        <v>9</v>
      </c>
      <c r="H17" t="s">
        <v>8</v>
      </c>
      <c r="I17" t="s">
        <v>29</v>
      </c>
      <c r="J17" t="s">
        <v>10</v>
      </c>
      <c r="K17" t="s">
        <v>543</v>
      </c>
      <c r="L17" t="s">
        <v>544</v>
      </c>
    </row>
    <row r="18" spans="1:12" x14ac:dyDescent="0.3">
      <c r="A18" t="s">
        <v>36</v>
      </c>
      <c r="B18">
        <v>27</v>
      </c>
      <c r="C18">
        <v>-15</v>
      </c>
      <c r="D18">
        <v>27</v>
      </c>
      <c r="E18">
        <f>SUM(Details[[#This Row],[Actual_Cost]],Details[[#This Row],[Profit]])</f>
        <v>12</v>
      </c>
      <c r="F18">
        <v>1</v>
      </c>
      <c r="G18">
        <f>PRODUCT(Details[[#This Row],[Selling_Cost]],Details[[#This Row],[Quantity]])</f>
        <v>12</v>
      </c>
      <c r="H18" t="s">
        <v>8</v>
      </c>
      <c r="I18" t="s">
        <v>29</v>
      </c>
      <c r="J18" t="s">
        <v>18</v>
      </c>
      <c r="K18" t="s">
        <v>561</v>
      </c>
      <c r="L18" t="s">
        <v>624</v>
      </c>
    </row>
    <row r="19" spans="1:12" x14ac:dyDescent="0.3">
      <c r="A19" t="s">
        <v>37</v>
      </c>
      <c r="B19">
        <v>46</v>
      </c>
      <c r="C19">
        <v>-14</v>
      </c>
      <c r="D19">
        <v>46</v>
      </c>
      <c r="E19">
        <f>SUM(Details[[#This Row],[Actual_Cost]],Details[[#This Row],[Profit]])</f>
        <v>32</v>
      </c>
      <c r="F19">
        <v>1</v>
      </c>
      <c r="G19">
        <f>PRODUCT(Details[[#This Row],[Selling_Cost]],Details[[#This Row],[Quantity]])</f>
        <v>32</v>
      </c>
      <c r="H19" t="s">
        <v>13</v>
      </c>
      <c r="I19" t="s">
        <v>14</v>
      </c>
      <c r="J19" t="s">
        <v>10</v>
      </c>
      <c r="K19" t="s">
        <v>548</v>
      </c>
      <c r="L19" t="s">
        <v>565</v>
      </c>
    </row>
    <row r="20" spans="1:12" x14ac:dyDescent="0.3">
      <c r="A20" t="s">
        <v>38</v>
      </c>
      <c r="B20">
        <v>32</v>
      </c>
      <c r="C20">
        <v>-12</v>
      </c>
      <c r="D20">
        <v>32</v>
      </c>
      <c r="E20">
        <f>SUM(Details[[#This Row],[Actual_Cost]],Details[[#This Row],[Profit]])</f>
        <v>20</v>
      </c>
      <c r="F20">
        <v>1</v>
      </c>
      <c r="G20">
        <f>PRODUCT(Details[[#This Row],[Selling_Cost]],Details[[#This Row],[Quantity]])</f>
        <v>20</v>
      </c>
      <c r="H20" t="s">
        <v>16</v>
      </c>
      <c r="I20" t="s">
        <v>23</v>
      </c>
      <c r="J20" t="s">
        <v>27</v>
      </c>
      <c r="K20" t="s">
        <v>543</v>
      </c>
      <c r="L20" t="s">
        <v>546</v>
      </c>
    </row>
    <row r="21" spans="1:12" x14ac:dyDescent="0.3">
      <c r="A21" t="s">
        <v>39</v>
      </c>
      <c r="B21">
        <v>25</v>
      </c>
      <c r="C21">
        <v>-11</v>
      </c>
      <c r="D21">
        <v>25</v>
      </c>
      <c r="E21">
        <f>SUM(Details[[#This Row],[Actual_Cost]],Details[[#This Row],[Profit]])</f>
        <v>14</v>
      </c>
      <c r="F21">
        <v>1</v>
      </c>
      <c r="G21">
        <f>PRODUCT(Details[[#This Row],[Selling_Cost]],Details[[#This Row],[Quantity]])</f>
        <v>14</v>
      </c>
      <c r="H21" t="s">
        <v>8</v>
      </c>
      <c r="I21" t="s">
        <v>29</v>
      </c>
      <c r="J21" t="s">
        <v>18</v>
      </c>
      <c r="K21" t="s">
        <v>552</v>
      </c>
      <c r="L21" t="s">
        <v>583</v>
      </c>
    </row>
    <row r="22" spans="1:12" x14ac:dyDescent="0.3">
      <c r="A22" t="s">
        <v>40</v>
      </c>
      <c r="B22">
        <v>253</v>
      </c>
      <c r="C22">
        <v>-11</v>
      </c>
      <c r="D22">
        <v>253</v>
      </c>
      <c r="E22">
        <f>SUM(Details[[#This Row],[Actual_Cost]],Details[[#This Row],[Profit]])</f>
        <v>242</v>
      </c>
      <c r="F22">
        <v>1</v>
      </c>
      <c r="G22">
        <f>PRODUCT(Details[[#This Row],[Selling_Cost]],Details[[#This Row],[Quantity]])</f>
        <v>242</v>
      </c>
      <c r="H22" t="s">
        <v>8</v>
      </c>
      <c r="I22" t="s">
        <v>41</v>
      </c>
      <c r="J22" t="s">
        <v>42</v>
      </c>
      <c r="K22" t="s">
        <v>548</v>
      </c>
      <c r="L22" t="s">
        <v>550</v>
      </c>
    </row>
    <row r="23" spans="1:12" x14ac:dyDescent="0.3">
      <c r="A23" t="s">
        <v>43</v>
      </c>
      <c r="B23">
        <v>10</v>
      </c>
      <c r="C23">
        <v>-8</v>
      </c>
      <c r="D23">
        <v>10</v>
      </c>
      <c r="E23">
        <f>SUM(Details[[#This Row],[Actual_Cost]],Details[[#This Row],[Profit]])</f>
        <v>2</v>
      </c>
      <c r="F23">
        <v>1</v>
      </c>
      <c r="G23">
        <f>PRODUCT(Details[[#This Row],[Selling_Cost]],Details[[#This Row],[Quantity]])</f>
        <v>2</v>
      </c>
      <c r="H23" t="s">
        <v>8</v>
      </c>
      <c r="I23" t="s">
        <v>44</v>
      </c>
      <c r="J23" t="s">
        <v>18</v>
      </c>
      <c r="K23" t="s">
        <v>548</v>
      </c>
      <c r="L23" t="s">
        <v>554</v>
      </c>
    </row>
    <row r="24" spans="1:12" x14ac:dyDescent="0.3">
      <c r="A24" t="s">
        <v>45</v>
      </c>
      <c r="B24">
        <v>13</v>
      </c>
      <c r="C24">
        <v>-8</v>
      </c>
      <c r="D24">
        <v>13</v>
      </c>
      <c r="E24">
        <f>SUM(Details[[#This Row],[Actual_Cost]],Details[[#This Row],[Profit]])</f>
        <v>5</v>
      </c>
      <c r="F24">
        <v>1</v>
      </c>
      <c r="G24">
        <f>PRODUCT(Details[[#This Row],[Selling_Cost]],Details[[#This Row],[Quantity]])</f>
        <v>5</v>
      </c>
      <c r="H24" t="s">
        <v>8</v>
      </c>
      <c r="I24" t="s">
        <v>46</v>
      </c>
      <c r="J24" t="s">
        <v>10</v>
      </c>
      <c r="K24" t="s">
        <v>548</v>
      </c>
      <c r="L24" t="s">
        <v>614</v>
      </c>
    </row>
    <row r="25" spans="1:12" x14ac:dyDescent="0.3">
      <c r="A25" t="s">
        <v>47</v>
      </c>
      <c r="B25">
        <v>15</v>
      </c>
      <c r="C25">
        <v>-7</v>
      </c>
      <c r="D25">
        <v>15</v>
      </c>
      <c r="E25">
        <f>SUM(Details[[#This Row],[Actual_Cost]],Details[[#This Row],[Profit]])</f>
        <v>8</v>
      </c>
      <c r="F25">
        <v>1</v>
      </c>
      <c r="G25">
        <f>PRODUCT(Details[[#This Row],[Selling_Cost]],Details[[#This Row],[Quantity]])</f>
        <v>8</v>
      </c>
      <c r="H25" t="s">
        <v>8</v>
      </c>
      <c r="I25" t="s">
        <v>48</v>
      </c>
      <c r="J25" t="s">
        <v>18</v>
      </c>
      <c r="K25" t="s">
        <v>539</v>
      </c>
      <c r="L25" t="s">
        <v>614</v>
      </c>
    </row>
    <row r="26" spans="1:12" x14ac:dyDescent="0.3">
      <c r="A26" t="s">
        <v>49</v>
      </c>
      <c r="B26">
        <v>36</v>
      </c>
      <c r="C26">
        <v>-7</v>
      </c>
      <c r="D26">
        <v>36</v>
      </c>
      <c r="E26">
        <f>SUM(Details[[#This Row],[Actual_Cost]],Details[[#This Row],[Profit]])</f>
        <v>29</v>
      </c>
      <c r="F26">
        <v>1</v>
      </c>
      <c r="G26">
        <f>PRODUCT(Details[[#This Row],[Selling_Cost]],Details[[#This Row],[Quantity]])</f>
        <v>29</v>
      </c>
      <c r="H26" t="s">
        <v>13</v>
      </c>
      <c r="I26" t="s">
        <v>34</v>
      </c>
      <c r="J26" t="s">
        <v>10</v>
      </c>
      <c r="K26" t="s">
        <v>641</v>
      </c>
      <c r="L26" t="s">
        <v>565</v>
      </c>
    </row>
    <row r="27" spans="1:12" x14ac:dyDescent="0.3">
      <c r="A27" t="s">
        <v>50</v>
      </c>
      <c r="B27">
        <v>73</v>
      </c>
      <c r="C27">
        <v>-7</v>
      </c>
      <c r="D27">
        <v>73</v>
      </c>
      <c r="E27">
        <f>SUM(Details[[#This Row],[Actual_Cost]],Details[[#This Row],[Profit]])</f>
        <v>66</v>
      </c>
      <c r="F27">
        <v>1</v>
      </c>
      <c r="G27">
        <f>PRODUCT(Details[[#This Row],[Selling_Cost]],Details[[#This Row],[Quantity]])</f>
        <v>66</v>
      </c>
      <c r="H27" t="s">
        <v>13</v>
      </c>
      <c r="I27" t="s">
        <v>14</v>
      </c>
      <c r="J27" t="s">
        <v>10</v>
      </c>
      <c r="K27" t="s">
        <v>641</v>
      </c>
      <c r="L27" t="s">
        <v>585</v>
      </c>
    </row>
    <row r="28" spans="1:12" x14ac:dyDescent="0.3">
      <c r="A28" t="s">
        <v>51</v>
      </c>
      <c r="B28">
        <v>8</v>
      </c>
      <c r="C28">
        <v>-6</v>
      </c>
      <c r="D28">
        <v>8</v>
      </c>
      <c r="E28">
        <f>SUM(Details[[#This Row],[Actual_Cost]],Details[[#This Row],[Profit]])</f>
        <v>2</v>
      </c>
      <c r="F28">
        <v>1</v>
      </c>
      <c r="G28">
        <f>PRODUCT(Details[[#This Row],[Selling_Cost]],Details[[#This Row],[Quantity]])</f>
        <v>2</v>
      </c>
      <c r="H28" t="s">
        <v>8</v>
      </c>
      <c r="I28" t="s">
        <v>29</v>
      </c>
      <c r="J28" t="s">
        <v>10</v>
      </c>
      <c r="K28" t="s">
        <v>548</v>
      </c>
      <c r="L28" t="s">
        <v>614</v>
      </c>
    </row>
    <row r="29" spans="1:12" x14ac:dyDescent="0.3">
      <c r="A29" t="s">
        <v>52</v>
      </c>
      <c r="B29">
        <v>22</v>
      </c>
      <c r="C29">
        <v>-6</v>
      </c>
      <c r="D29">
        <v>22</v>
      </c>
      <c r="E29">
        <f>SUM(Details[[#This Row],[Actual_Cost]],Details[[#This Row],[Profit]])</f>
        <v>16</v>
      </c>
      <c r="F29">
        <v>1</v>
      </c>
      <c r="G29">
        <f>PRODUCT(Details[[#This Row],[Selling_Cost]],Details[[#This Row],[Quantity]])</f>
        <v>16</v>
      </c>
      <c r="H29" t="s">
        <v>16</v>
      </c>
      <c r="I29" t="s">
        <v>32</v>
      </c>
      <c r="J29" t="s">
        <v>10</v>
      </c>
      <c r="K29" t="s">
        <v>632</v>
      </c>
      <c r="L29" t="s">
        <v>565</v>
      </c>
    </row>
    <row r="30" spans="1:12" x14ac:dyDescent="0.3">
      <c r="A30" t="s">
        <v>53</v>
      </c>
      <c r="B30">
        <v>37</v>
      </c>
      <c r="C30">
        <v>-6</v>
      </c>
      <c r="D30">
        <v>37</v>
      </c>
      <c r="E30">
        <f>SUM(Details[[#This Row],[Actual_Cost]],Details[[#This Row],[Profit]])</f>
        <v>31</v>
      </c>
      <c r="F30">
        <v>1</v>
      </c>
      <c r="G30">
        <f>PRODUCT(Details[[#This Row],[Selling_Cost]],Details[[#This Row],[Quantity]])</f>
        <v>31</v>
      </c>
      <c r="H30" t="s">
        <v>8</v>
      </c>
      <c r="I30" t="s">
        <v>9</v>
      </c>
      <c r="J30" t="s">
        <v>18</v>
      </c>
      <c r="K30" t="s">
        <v>548</v>
      </c>
      <c r="L30" t="s">
        <v>583</v>
      </c>
    </row>
    <row r="31" spans="1:12" x14ac:dyDescent="0.3">
      <c r="A31" t="s">
        <v>54</v>
      </c>
      <c r="B31">
        <v>41</v>
      </c>
      <c r="C31">
        <v>-6</v>
      </c>
      <c r="D31">
        <v>41</v>
      </c>
      <c r="E31">
        <f>SUM(Details[[#This Row],[Actual_Cost]],Details[[#This Row],[Profit]])</f>
        <v>35</v>
      </c>
      <c r="F31">
        <v>1</v>
      </c>
      <c r="G31">
        <f>PRODUCT(Details[[#This Row],[Selling_Cost]],Details[[#This Row],[Quantity]])</f>
        <v>35</v>
      </c>
      <c r="H31" t="s">
        <v>16</v>
      </c>
      <c r="I31" t="s">
        <v>23</v>
      </c>
      <c r="J31" t="s">
        <v>27</v>
      </c>
      <c r="K31" t="s">
        <v>552</v>
      </c>
      <c r="L31" t="s">
        <v>614</v>
      </c>
    </row>
    <row r="32" spans="1:12" x14ac:dyDescent="0.3">
      <c r="A32" t="s">
        <v>31</v>
      </c>
      <c r="B32">
        <v>21</v>
      </c>
      <c r="C32">
        <v>-5</v>
      </c>
      <c r="D32">
        <v>21</v>
      </c>
      <c r="E32">
        <f>SUM(Details[[#This Row],[Actual_Cost]],Details[[#This Row],[Profit]])</f>
        <v>16</v>
      </c>
      <c r="F32">
        <v>1</v>
      </c>
      <c r="G32">
        <f>PRODUCT(Details[[#This Row],[Selling_Cost]],Details[[#This Row],[Quantity]])</f>
        <v>16</v>
      </c>
      <c r="H32" t="s">
        <v>13</v>
      </c>
      <c r="I32" t="s">
        <v>55</v>
      </c>
      <c r="J32" t="s">
        <v>10</v>
      </c>
      <c r="K32" t="s">
        <v>539</v>
      </c>
      <c r="L32" t="s">
        <v>585</v>
      </c>
    </row>
    <row r="33" spans="1:12" x14ac:dyDescent="0.3">
      <c r="A33" t="s">
        <v>56</v>
      </c>
      <c r="B33">
        <v>99</v>
      </c>
      <c r="C33">
        <v>-5</v>
      </c>
      <c r="D33">
        <v>99</v>
      </c>
      <c r="E33">
        <f>SUM(Details[[#This Row],[Actual_Cost]],Details[[#This Row],[Profit]])</f>
        <v>94</v>
      </c>
      <c r="F33">
        <v>1</v>
      </c>
      <c r="G33">
        <f>PRODUCT(Details[[#This Row],[Selling_Cost]],Details[[#This Row],[Quantity]])</f>
        <v>94</v>
      </c>
      <c r="H33" t="s">
        <v>8</v>
      </c>
      <c r="I33" t="s">
        <v>9</v>
      </c>
      <c r="J33" t="s">
        <v>18</v>
      </c>
      <c r="K33" t="s">
        <v>596</v>
      </c>
      <c r="L33" t="s">
        <v>554</v>
      </c>
    </row>
    <row r="34" spans="1:12" x14ac:dyDescent="0.3">
      <c r="A34" t="s">
        <v>57</v>
      </c>
      <c r="B34">
        <v>116</v>
      </c>
      <c r="C34">
        <v>-4</v>
      </c>
      <c r="D34">
        <v>116</v>
      </c>
      <c r="E34">
        <f>SUM(Details[[#This Row],[Actual_Cost]],Details[[#This Row],[Profit]])</f>
        <v>112</v>
      </c>
      <c r="F34">
        <v>1</v>
      </c>
      <c r="G34">
        <f>PRODUCT(Details[[#This Row],[Selling_Cost]],Details[[#This Row],[Quantity]])</f>
        <v>112</v>
      </c>
      <c r="H34" t="s">
        <v>8</v>
      </c>
      <c r="I34" t="s">
        <v>9</v>
      </c>
      <c r="J34" t="s">
        <v>10</v>
      </c>
      <c r="K34" t="s">
        <v>610</v>
      </c>
      <c r="L34" t="s">
        <v>585</v>
      </c>
    </row>
    <row r="35" spans="1:12" x14ac:dyDescent="0.3">
      <c r="A35" t="s">
        <v>50</v>
      </c>
      <c r="B35">
        <v>4</v>
      </c>
      <c r="C35">
        <v>-3</v>
      </c>
      <c r="D35">
        <v>4</v>
      </c>
      <c r="E35">
        <f>SUM(Details[[#This Row],[Actual_Cost]],Details[[#This Row],[Profit]])</f>
        <v>1</v>
      </c>
      <c r="F35">
        <v>1</v>
      </c>
      <c r="G35">
        <f>PRODUCT(Details[[#This Row],[Selling_Cost]],Details[[#This Row],[Quantity]])</f>
        <v>1</v>
      </c>
      <c r="H35" t="s">
        <v>8</v>
      </c>
      <c r="I35" t="s">
        <v>58</v>
      </c>
      <c r="J35" t="s">
        <v>27</v>
      </c>
      <c r="K35" t="s">
        <v>641</v>
      </c>
      <c r="L35" t="s">
        <v>585</v>
      </c>
    </row>
    <row r="36" spans="1:12" x14ac:dyDescent="0.3">
      <c r="A36" t="s">
        <v>59</v>
      </c>
      <c r="B36">
        <v>6</v>
      </c>
      <c r="C36">
        <v>-3</v>
      </c>
      <c r="D36">
        <v>6</v>
      </c>
      <c r="E36">
        <f>SUM(Details[[#This Row],[Actual_Cost]],Details[[#This Row],[Profit]])</f>
        <v>3</v>
      </c>
      <c r="F36">
        <v>1</v>
      </c>
      <c r="G36">
        <f>PRODUCT(Details[[#This Row],[Selling_Cost]],Details[[#This Row],[Quantity]])</f>
        <v>3</v>
      </c>
      <c r="H36" t="s">
        <v>8</v>
      </c>
      <c r="I36" t="s">
        <v>48</v>
      </c>
      <c r="J36" t="s">
        <v>18</v>
      </c>
      <c r="K36" t="s">
        <v>552</v>
      </c>
      <c r="L36" t="s">
        <v>624</v>
      </c>
    </row>
    <row r="37" spans="1:12" x14ac:dyDescent="0.3">
      <c r="A37" t="s">
        <v>60</v>
      </c>
      <c r="B37">
        <v>23</v>
      </c>
      <c r="C37">
        <v>-3</v>
      </c>
      <c r="D37">
        <v>23</v>
      </c>
      <c r="E37">
        <f>SUM(Details[[#This Row],[Actual_Cost]],Details[[#This Row],[Profit]])</f>
        <v>20</v>
      </c>
      <c r="F37">
        <v>1</v>
      </c>
      <c r="G37">
        <f>PRODUCT(Details[[#This Row],[Selling_Cost]],Details[[#This Row],[Quantity]])</f>
        <v>20</v>
      </c>
      <c r="H37" t="s">
        <v>8</v>
      </c>
      <c r="I37" t="s">
        <v>61</v>
      </c>
      <c r="J37" t="s">
        <v>10</v>
      </c>
      <c r="K37" t="s">
        <v>548</v>
      </c>
      <c r="L37" t="s">
        <v>563</v>
      </c>
    </row>
    <row r="38" spans="1:12" x14ac:dyDescent="0.3">
      <c r="A38" t="s">
        <v>62</v>
      </c>
      <c r="B38">
        <v>42</v>
      </c>
      <c r="C38">
        <v>-3</v>
      </c>
      <c r="D38">
        <v>42</v>
      </c>
      <c r="E38">
        <f>SUM(Details[[#This Row],[Actual_Cost]],Details[[#This Row],[Profit]])</f>
        <v>39</v>
      </c>
      <c r="F38">
        <v>1</v>
      </c>
      <c r="G38">
        <f>PRODUCT(Details[[#This Row],[Selling_Cost]],Details[[#This Row],[Quantity]])</f>
        <v>39</v>
      </c>
      <c r="H38" t="s">
        <v>13</v>
      </c>
      <c r="I38" t="s">
        <v>34</v>
      </c>
      <c r="J38" t="s">
        <v>10</v>
      </c>
      <c r="K38" t="s">
        <v>578</v>
      </c>
      <c r="L38" t="s">
        <v>583</v>
      </c>
    </row>
    <row r="39" spans="1:12" x14ac:dyDescent="0.3">
      <c r="A39" t="s">
        <v>63</v>
      </c>
      <c r="B39">
        <v>44</v>
      </c>
      <c r="C39">
        <v>-3</v>
      </c>
      <c r="D39">
        <v>44</v>
      </c>
      <c r="E39">
        <f>SUM(Details[[#This Row],[Actual_Cost]],Details[[#This Row],[Profit]])</f>
        <v>41</v>
      </c>
      <c r="F39">
        <v>1</v>
      </c>
      <c r="G39">
        <f>PRODUCT(Details[[#This Row],[Selling_Cost]],Details[[#This Row],[Quantity]])</f>
        <v>41</v>
      </c>
      <c r="H39" t="s">
        <v>8</v>
      </c>
      <c r="I39" t="s">
        <v>9</v>
      </c>
      <c r="J39" t="s">
        <v>42</v>
      </c>
      <c r="K39" t="s">
        <v>552</v>
      </c>
      <c r="L39" t="s">
        <v>585</v>
      </c>
    </row>
    <row r="40" spans="1:12" x14ac:dyDescent="0.3">
      <c r="A40" t="s">
        <v>64</v>
      </c>
      <c r="B40">
        <v>7</v>
      </c>
      <c r="C40">
        <v>-2</v>
      </c>
      <c r="D40">
        <v>7</v>
      </c>
      <c r="E40">
        <f>SUM(Details[[#This Row],[Actual_Cost]],Details[[#This Row],[Profit]])</f>
        <v>5</v>
      </c>
      <c r="F40">
        <v>1</v>
      </c>
      <c r="G40">
        <f>PRODUCT(Details[[#This Row],[Selling_Cost]],Details[[#This Row],[Quantity]])</f>
        <v>5</v>
      </c>
      <c r="H40" t="s">
        <v>8</v>
      </c>
      <c r="I40" t="s">
        <v>48</v>
      </c>
      <c r="J40" t="s">
        <v>10</v>
      </c>
      <c r="K40" t="s">
        <v>626</v>
      </c>
      <c r="L40" t="s">
        <v>585</v>
      </c>
    </row>
    <row r="41" spans="1:12" x14ac:dyDescent="0.3">
      <c r="A41" t="s">
        <v>65</v>
      </c>
      <c r="B41">
        <v>8</v>
      </c>
      <c r="C41">
        <v>-2</v>
      </c>
      <c r="D41">
        <v>8</v>
      </c>
      <c r="E41">
        <f>SUM(Details[[#This Row],[Actual_Cost]],Details[[#This Row],[Profit]])</f>
        <v>6</v>
      </c>
      <c r="F41">
        <v>1</v>
      </c>
      <c r="G41">
        <f>PRODUCT(Details[[#This Row],[Selling_Cost]],Details[[#This Row],[Quantity]])</f>
        <v>6</v>
      </c>
      <c r="H41" t="s">
        <v>8</v>
      </c>
      <c r="I41" t="s">
        <v>29</v>
      </c>
      <c r="J41" t="s">
        <v>10</v>
      </c>
      <c r="K41" t="s">
        <v>581</v>
      </c>
      <c r="L41" t="s">
        <v>554</v>
      </c>
    </row>
    <row r="42" spans="1:12" x14ac:dyDescent="0.3">
      <c r="A42" t="s">
        <v>66</v>
      </c>
      <c r="B42">
        <v>13</v>
      </c>
      <c r="C42">
        <v>-2</v>
      </c>
      <c r="D42">
        <v>13</v>
      </c>
      <c r="E42">
        <f>SUM(Details[[#This Row],[Actual_Cost]],Details[[#This Row],[Profit]])</f>
        <v>11</v>
      </c>
      <c r="F42">
        <v>1</v>
      </c>
      <c r="G42">
        <f>PRODUCT(Details[[#This Row],[Selling_Cost]],Details[[#This Row],[Quantity]])</f>
        <v>11</v>
      </c>
      <c r="H42" t="s">
        <v>8</v>
      </c>
      <c r="I42" t="s">
        <v>29</v>
      </c>
      <c r="J42" t="s">
        <v>10</v>
      </c>
      <c r="K42" t="s">
        <v>661</v>
      </c>
      <c r="L42" t="s">
        <v>541</v>
      </c>
    </row>
    <row r="43" spans="1:12" x14ac:dyDescent="0.3">
      <c r="A43" t="s">
        <v>67</v>
      </c>
      <c r="B43">
        <v>15</v>
      </c>
      <c r="C43">
        <v>-2</v>
      </c>
      <c r="D43">
        <v>15</v>
      </c>
      <c r="E43">
        <f>SUM(Details[[#This Row],[Actual_Cost]],Details[[#This Row],[Profit]])</f>
        <v>13</v>
      </c>
      <c r="F43">
        <v>1</v>
      </c>
      <c r="G43">
        <f>PRODUCT(Details[[#This Row],[Selling_Cost]],Details[[#This Row],[Quantity]])</f>
        <v>13</v>
      </c>
      <c r="H43" t="s">
        <v>8</v>
      </c>
      <c r="I43" t="s">
        <v>46</v>
      </c>
      <c r="J43" t="s">
        <v>42</v>
      </c>
      <c r="K43" t="s">
        <v>552</v>
      </c>
      <c r="L43" t="s">
        <v>563</v>
      </c>
    </row>
    <row r="44" spans="1:12" x14ac:dyDescent="0.3">
      <c r="A44" t="s">
        <v>68</v>
      </c>
      <c r="B44">
        <v>20</v>
      </c>
      <c r="C44">
        <v>-2</v>
      </c>
      <c r="D44">
        <v>20</v>
      </c>
      <c r="E44">
        <f>SUM(Details[[#This Row],[Actual_Cost]],Details[[#This Row],[Profit]])</f>
        <v>18</v>
      </c>
      <c r="F44">
        <v>1</v>
      </c>
      <c r="G44">
        <f>PRODUCT(Details[[#This Row],[Selling_Cost]],Details[[#This Row],[Quantity]])</f>
        <v>18</v>
      </c>
      <c r="H44" t="s">
        <v>13</v>
      </c>
      <c r="I44" t="s">
        <v>55</v>
      </c>
      <c r="J44" t="s">
        <v>18</v>
      </c>
      <c r="K44" t="s">
        <v>632</v>
      </c>
      <c r="L44" t="s">
        <v>585</v>
      </c>
    </row>
    <row r="45" spans="1:12" x14ac:dyDescent="0.3">
      <c r="A45" t="s">
        <v>45</v>
      </c>
      <c r="B45">
        <v>10</v>
      </c>
      <c r="C45">
        <v>-1</v>
      </c>
      <c r="D45">
        <v>10</v>
      </c>
      <c r="E45">
        <f>SUM(Details[[#This Row],[Actual_Cost]],Details[[#This Row],[Profit]])</f>
        <v>9</v>
      </c>
      <c r="F45">
        <v>1</v>
      </c>
      <c r="G45">
        <f>PRODUCT(Details[[#This Row],[Selling_Cost]],Details[[#This Row],[Quantity]])</f>
        <v>9</v>
      </c>
      <c r="H45" t="s">
        <v>8</v>
      </c>
      <c r="I45" t="s">
        <v>69</v>
      </c>
      <c r="J45" t="s">
        <v>18</v>
      </c>
      <c r="K45" t="s">
        <v>548</v>
      </c>
      <c r="L45" t="s">
        <v>614</v>
      </c>
    </row>
    <row r="46" spans="1:12" x14ac:dyDescent="0.3">
      <c r="A46" t="s">
        <v>24</v>
      </c>
      <c r="B46">
        <v>19</v>
      </c>
      <c r="C46">
        <v>-1</v>
      </c>
      <c r="D46">
        <v>19</v>
      </c>
      <c r="E46">
        <f>SUM(Details[[#This Row],[Actual_Cost]],Details[[#This Row],[Profit]])</f>
        <v>18</v>
      </c>
      <c r="F46">
        <v>1</v>
      </c>
      <c r="G46">
        <f>PRODUCT(Details[[#This Row],[Selling_Cost]],Details[[#This Row],[Quantity]])</f>
        <v>18</v>
      </c>
      <c r="H46" t="s">
        <v>8</v>
      </c>
      <c r="I46" t="s">
        <v>61</v>
      </c>
      <c r="J46" t="s">
        <v>42</v>
      </c>
      <c r="K46" t="s">
        <v>552</v>
      </c>
      <c r="L46" t="s">
        <v>554</v>
      </c>
    </row>
    <row r="47" spans="1:12" x14ac:dyDescent="0.3">
      <c r="A47" t="s">
        <v>70</v>
      </c>
      <c r="B47">
        <v>33</v>
      </c>
      <c r="C47">
        <v>-1</v>
      </c>
      <c r="D47">
        <v>33</v>
      </c>
      <c r="E47">
        <f>SUM(Details[[#This Row],[Actual_Cost]],Details[[#This Row],[Profit]])</f>
        <v>32</v>
      </c>
      <c r="F47">
        <v>1</v>
      </c>
      <c r="G47">
        <f>PRODUCT(Details[[#This Row],[Selling_Cost]],Details[[#This Row],[Quantity]])</f>
        <v>32</v>
      </c>
      <c r="H47" t="s">
        <v>8</v>
      </c>
      <c r="I47" t="s">
        <v>9</v>
      </c>
      <c r="J47" t="s">
        <v>27</v>
      </c>
      <c r="K47" t="s">
        <v>548</v>
      </c>
      <c r="L47" t="s">
        <v>541</v>
      </c>
    </row>
    <row r="48" spans="1:12" x14ac:dyDescent="0.3">
      <c r="A48" t="s">
        <v>71</v>
      </c>
      <c r="B48">
        <v>62</v>
      </c>
      <c r="C48">
        <v>-1</v>
      </c>
      <c r="D48">
        <v>62</v>
      </c>
      <c r="E48">
        <f>SUM(Details[[#This Row],[Actual_Cost]],Details[[#This Row],[Profit]])</f>
        <v>61</v>
      </c>
      <c r="F48">
        <v>1</v>
      </c>
      <c r="G48">
        <f>PRODUCT(Details[[#This Row],[Selling_Cost]],Details[[#This Row],[Quantity]])</f>
        <v>61</v>
      </c>
      <c r="H48" t="s">
        <v>13</v>
      </c>
      <c r="I48" t="s">
        <v>14</v>
      </c>
      <c r="J48" t="s">
        <v>18</v>
      </c>
      <c r="K48" t="s">
        <v>661</v>
      </c>
      <c r="L48" t="s">
        <v>567</v>
      </c>
    </row>
    <row r="49" spans="1:12" x14ac:dyDescent="0.3">
      <c r="A49" t="s">
        <v>72</v>
      </c>
      <c r="B49">
        <v>149</v>
      </c>
      <c r="C49">
        <v>-1</v>
      </c>
      <c r="D49">
        <v>149</v>
      </c>
      <c r="E49">
        <f>SUM(Details[[#This Row],[Actual_Cost]],Details[[#This Row],[Profit]])</f>
        <v>148</v>
      </c>
      <c r="F49">
        <v>1</v>
      </c>
      <c r="G49">
        <f>PRODUCT(Details[[#This Row],[Selling_Cost]],Details[[#This Row],[Quantity]])</f>
        <v>148</v>
      </c>
      <c r="H49" t="s">
        <v>8</v>
      </c>
      <c r="I49" t="s">
        <v>9</v>
      </c>
      <c r="J49" t="s">
        <v>10</v>
      </c>
      <c r="K49" t="s">
        <v>569</v>
      </c>
      <c r="L49" t="s">
        <v>624</v>
      </c>
    </row>
    <row r="50" spans="1:12" x14ac:dyDescent="0.3">
      <c r="A50" t="s">
        <v>73</v>
      </c>
      <c r="B50">
        <v>199</v>
      </c>
      <c r="C50">
        <v>-1</v>
      </c>
      <c r="D50">
        <v>199</v>
      </c>
      <c r="E50">
        <f>SUM(Details[[#This Row],[Actual_Cost]],Details[[#This Row],[Profit]])</f>
        <v>198</v>
      </c>
      <c r="F50">
        <v>1</v>
      </c>
      <c r="G50">
        <f>PRODUCT(Details[[#This Row],[Selling_Cost]],Details[[#This Row],[Quantity]])</f>
        <v>198</v>
      </c>
      <c r="H50" t="s">
        <v>8</v>
      </c>
      <c r="I50" t="s">
        <v>9</v>
      </c>
      <c r="J50" t="s">
        <v>27</v>
      </c>
      <c r="K50" t="s">
        <v>626</v>
      </c>
      <c r="L50" t="s">
        <v>544</v>
      </c>
    </row>
    <row r="51" spans="1:12" x14ac:dyDescent="0.3">
      <c r="A51" t="s">
        <v>74</v>
      </c>
      <c r="B51">
        <v>7</v>
      </c>
      <c r="C51">
        <v>0</v>
      </c>
      <c r="D51">
        <v>7</v>
      </c>
      <c r="E51">
        <f>SUM(Details[[#This Row],[Actual_Cost]],Details[[#This Row],[Profit]])</f>
        <v>7</v>
      </c>
      <c r="F51">
        <v>1</v>
      </c>
      <c r="G51">
        <f>PRODUCT(Details[[#This Row],[Selling_Cost]],Details[[#This Row],[Quantity]])</f>
        <v>7</v>
      </c>
      <c r="H51" t="s">
        <v>8</v>
      </c>
      <c r="I51" t="s">
        <v>69</v>
      </c>
      <c r="J51" t="s">
        <v>10</v>
      </c>
      <c r="K51" t="s">
        <v>552</v>
      </c>
      <c r="L51" t="s">
        <v>624</v>
      </c>
    </row>
    <row r="52" spans="1:12" x14ac:dyDescent="0.3">
      <c r="A52" t="s">
        <v>75</v>
      </c>
      <c r="B52">
        <v>17</v>
      </c>
      <c r="C52">
        <v>0</v>
      </c>
      <c r="D52">
        <v>17</v>
      </c>
      <c r="E52">
        <f>SUM(Details[[#This Row],[Actual_Cost]],Details[[#This Row],[Profit]])</f>
        <v>17</v>
      </c>
      <c r="F52">
        <v>1</v>
      </c>
      <c r="G52">
        <f>PRODUCT(Details[[#This Row],[Selling_Cost]],Details[[#This Row],[Quantity]])</f>
        <v>17</v>
      </c>
      <c r="H52" t="s">
        <v>8</v>
      </c>
      <c r="I52" t="s">
        <v>48</v>
      </c>
      <c r="J52" t="s">
        <v>10</v>
      </c>
      <c r="K52" t="s">
        <v>632</v>
      </c>
      <c r="L52" t="s">
        <v>563</v>
      </c>
    </row>
    <row r="53" spans="1:12" x14ac:dyDescent="0.3">
      <c r="A53" t="s">
        <v>76</v>
      </c>
      <c r="B53">
        <v>30</v>
      </c>
      <c r="C53">
        <v>0</v>
      </c>
      <c r="D53">
        <v>30</v>
      </c>
      <c r="E53">
        <f>SUM(Details[[#This Row],[Actual_Cost]],Details[[#This Row],[Profit]])</f>
        <v>30</v>
      </c>
      <c r="F53">
        <v>1</v>
      </c>
      <c r="G53">
        <f>PRODUCT(Details[[#This Row],[Selling_Cost]],Details[[#This Row],[Quantity]])</f>
        <v>30</v>
      </c>
      <c r="H53" t="s">
        <v>8</v>
      </c>
      <c r="I53" t="s">
        <v>44</v>
      </c>
      <c r="J53" t="s">
        <v>10</v>
      </c>
      <c r="K53" t="s">
        <v>539</v>
      </c>
      <c r="L53" t="s">
        <v>583</v>
      </c>
    </row>
    <row r="54" spans="1:12" x14ac:dyDescent="0.3">
      <c r="A54" t="s">
        <v>77</v>
      </c>
      <c r="B54">
        <v>115</v>
      </c>
      <c r="C54">
        <v>0</v>
      </c>
      <c r="D54">
        <v>115</v>
      </c>
      <c r="E54">
        <f>SUM(Details[[#This Row],[Actual_Cost]],Details[[#This Row],[Profit]])</f>
        <v>115</v>
      </c>
      <c r="F54">
        <v>1</v>
      </c>
      <c r="G54">
        <f>PRODUCT(Details[[#This Row],[Selling_Cost]],Details[[#This Row],[Quantity]])</f>
        <v>115</v>
      </c>
      <c r="H54" t="s">
        <v>13</v>
      </c>
      <c r="I54" t="s">
        <v>55</v>
      </c>
      <c r="J54" t="s">
        <v>42</v>
      </c>
      <c r="K54" t="s">
        <v>561</v>
      </c>
      <c r="L54" t="s">
        <v>544</v>
      </c>
    </row>
    <row r="55" spans="1:12" x14ac:dyDescent="0.3">
      <c r="A55" t="s">
        <v>78</v>
      </c>
      <c r="B55">
        <v>219</v>
      </c>
      <c r="C55">
        <v>0</v>
      </c>
      <c r="D55">
        <v>219</v>
      </c>
      <c r="E55">
        <f>SUM(Details[[#This Row],[Actual_Cost]],Details[[#This Row],[Profit]])</f>
        <v>219</v>
      </c>
      <c r="F55">
        <v>1</v>
      </c>
      <c r="G55">
        <f>PRODUCT(Details[[#This Row],[Selling_Cost]],Details[[#This Row],[Quantity]])</f>
        <v>219</v>
      </c>
      <c r="H55" t="s">
        <v>8</v>
      </c>
      <c r="I55" t="s">
        <v>9</v>
      </c>
      <c r="J55" t="s">
        <v>10</v>
      </c>
      <c r="K55" t="s">
        <v>548</v>
      </c>
      <c r="L55" t="s">
        <v>567</v>
      </c>
    </row>
    <row r="56" spans="1:12" x14ac:dyDescent="0.3">
      <c r="A56" t="s">
        <v>79</v>
      </c>
      <c r="B56">
        <v>6</v>
      </c>
      <c r="C56">
        <v>1</v>
      </c>
      <c r="D56">
        <v>6</v>
      </c>
      <c r="E56">
        <f>SUM(Details[[#This Row],[Actual_Cost]],Details[[#This Row],[Profit]])</f>
        <v>7</v>
      </c>
      <c r="F56">
        <v>1</v>
      </c>
      <c r="G56">
        <f>PRODUCT(Details[[#This Row],[Selling_Cost]],Details[[#This Row],[Quantity]])</f>
        <v>7</v>
      </c>
      <c r="H56" t="s">
        <v>8</v>
      </c>
      <c r="I56" t="s">
        <v>44</v>
      </c>
      <c r="J56" t="s">
        <v>18</v>
      </c>
      <c r="K56" t="s">
        <v>607</v>
      </c>
      <c r="L56" t="s">
        <v>541</v>
      </c>
    </row>
    <row r="57" spans="1:12" x14ac:dyDescent="0.3">
      <c r="A57" t="s">
        <v>80</v>
      </c>
      <c r="B57">
        <v>7</v>
      </c>
      <c r="C57">
        <v>1</v>
      </c>
      <c r="D57">
        <v>7</v>
      </c>
      <c r="E57">
        <f>SUM(Details[[#This Row],[Actual_Cost]],Details[[#This Row],[Profit]])</f>
        <v>8</v>
      </c>
      <c r="F57">
        <v>1</v>
      </c>
      <c r="G57">
        <f>PRODUCT(Details[[#This Row],[Selling_Cost]],Details[[#This Row],[Quantity]])</f>
        <v>8</v>
      </c>
      <c r="H57" t="s">
        <v>8</v>
      </c>
      <c r="I57" t="s">
        <v>48</v>
      </c>
      <c r="J57" t="s">
        <v>10</v>
      </c>
      <c r="K57" t="s">
        <v>552</v>
      </c>
      <c r="L57" t="s">
        <v>567</v>
      </c>
    </row>
    <row r="58" spans="1:12" x14ac:dyDescent="0.3">
      <c r="A58" t="s">
        <v>81</v>
      </c>
      <c r="B58">
        <v>15</v>
      </c>
      <c r="C58">
        <v>1</v>
      </c>
      <c r="D58">
        <v>15</v>
      </c>
      <c r="E58">
        <f>SUM(Details[[#This Row],[Actual_Cost]],Details[[#This Row],[Profit]])</f>
        <v>16</v>
      </c>
      <c r="F58">
        <v>1</v>
      </c>
      <c r="G58">
        <f>PRODUCT(Details[[#This Row],[Selling_Cost]],Details[[#This Row],[Quantity]])</f>
        <v>16</v>
      </c>
      <c r="H58" t="s">
        <v>8</v>
      </c>
      <c r="I58" t="s">
        <v>61</v>
      </c>
      <c r="J58" t="s">
        <v>10</v>
      </c>
      <c r="K58" t="s">
        <v>610</v>
      </c>
      <c r="L58" t="s">
        <v>541</v>
      </c>
    </row>
    <row r="59" spans="1:12" x14ac:dyDescent="0.3">
      <c r="A59" t="s">
        <v>82</v>
      </c>
      <c r="B59">
        <v>27</v>
      </c>
      <c r="C59">
        <v>1</v>
      </c>
      <c r="D59">
        <v>27</v>
      </c>
      <c r="E59">
        <f>SUM(Details[[#This Row],[Actual_Cost]],Details[[#This Row],[Profit]])</f>
        <v>28</v>
      </c>
      <c r="F59">
        <v>1</v>
      </c>
      <c r="G59">
        <f>PRODUCT(Details[[#This Row],[Selling_Cost]],Details[[#This Row],[Quantity]])</f>
        <v>28</v>
      </c>
      <c r="H59" t="s">
        <v>8</v>
      </c>
      <c r="I59" t="s">
        <v>29</v>
      </c>
      <c r="J59" t="s">
        <v>18</v>
      </c>
      <c r="K59" t="s">
        <v>569</v>
      </c>
      <c r="L59" t="s">
        <v>546</v>
      </c>
    </row>
    <row r="60" spans="1:12" x14ac:dyDescent="0.3">
      <c r="A60" t="s">
        <v>53</v>
      </c>
      <c r="B60">
        <v>28</v>
      </c>
      <c r="C60">
        <v>1</v>
      </c>
      <c r="D60">
        <v>28</v>
      </c>
      <c r="E60">
        <f>SUM(Details[[#This Row],[Actual_Cost]],Details[[#This Row],[Profit]])</f>
        <v>29</v>
      </c>
      <c r="F60">
        <v>1</v>
      </c>
      <c r="G60">
        <f>PRODUCT(Details[[#This Row],[Selling_Cost]],Details[[#This Row],[Quantity]])</f>
        <v>29</v>
      </c>
      <c r="H60" t="s">
        <v>13</v>
      </c>
      <c r="I60" t="s">
        <v>55</v>
      </c>
      <c r="J60" t="s">
        <v>18</v>
      </c>
      <c r="K60" t="s">
        <v>548</v>
      </c>
      <c r="L60" t="s">
        <v>583</v>
      </c>
    </row>
    <row r="61" spans="1:12" x14ac:dyDescent="0.3">
      <c r="A61" t="s">
        <v>83</v>
      </c>
      <c r="B61">
        <v>119</v>
      </c>
      <c r="C61">
        <v>1</v>
      </c>
      <c r="D61">
        <v>119</v>
      </c>
      <c r="E61">
        <f>SUM(Details[[#This Row],[Actual_Cost]],Details[[#This Row],[Profit]])</f>
        <v>120</v>
      </c>
      <c r="F61">
        <v>1</v>
      </c>
      <c r="G61">
        <f>PRODUCT(Details[[#This Row],[Selling_Cost]],Details[[#This Row],[Quantity]])</f>
        <v>120</v>
      </c>
      <c r="H61" t="s">
        <v>16</v>
      </c>
      <c r="I61" t="s">
        <v>23</v>
      </c>
      <c r="J61" t="s">
        <v>10</v>
      </c>
      <c r="K61" t="s">
        <v>607</v>
      </c>
      <c r="L61" t="s">
        <v>563</v>
      </c>
    </row>
    <row r="62" spans="1:12" x14ac:dyDescent="0.3">
      <c r="A62" t="s">
        <v>84</v>
      </c>
      <c r="B62">
        <v>120</v>
      </c>
      <c r="C62">
        <v>1</v>
      </c>
      <c r="D62">
        <v>120</v>
      </c>
      <c r="E62">
        <f>SUM(Details[[#This Row],[Actual_Cost]],Details[[#This Row],[Profit]])</f>
        <v>121</v>
      </c>
      <c r="F62">
        <v>1</v>
      </c>
      <c r="G62">
        <f>PRODUCT(Details[[#This Row],[Selling_Cost]],Details[[#This Row],[Quantity]])</f>
        <v>121</v>
      </c>
      <c r="H62" t="s">
        <v>16</v>
      </c>
      <c r="I62" t="s">
        <v>23</v>
      </c>
      <c r="J62" t="s">
        <v>10</v>
      </c>
      <c r="K62" t="s">
        <v>641</v>
      </c>
      <c r="L62" t="s">
        <v>541</v>
      </c>
    </row>
    <row r="63" spans="1:12" x14ac:dyDescent="0.3">
      <c r="A63" t="s">
        <v>85</v>
      </c>
      <c r="B63">
        <v>14</v>
      </c>
      <c r="C63">
        <v>2</v>
      </c>
      <c r="D63">
        <v>14</v>
      </c>
      <c r="E63">
        <f>SUM(Details[[#This Row],[Actual_Cost]],Details[[#This Row],[Profit]])</f>
        <v>16</v>
      </c>
      <c r="F63">
        <v>1</v>
      </c>
      <c r="G63">
        <f>PRODUCT(Details[[#This Row],[Selling_Cost]],Details[[#This Row],[Quantity]])</f>
        <v>16</v>
      </c>
      <c r="H63" t="s">
        <v>8</v>
      </c>
      <c r="I63" t="s">
        <v>48</v>
      </c>
      <c r="J63" t="s">
        <v>10</v>
      </c>
      <c r="K63" t="s">
        <v>661</v>
      </c>
      <c r="L63" t="s">
        <v>624</v>
      </c>
    </row>
    <row r="64" spans="1:12" x14ac:dyDescent="0.3">
      <c r="A64" t="s">
        <v>86</v>
      </c>
      <c r="B64">
        <v>15</v>
      </c>
      <c r="C64">
        <v>2</v>
      </c>
      <c r="D64">
        <v>15</v>
      </c>
      <c r="E64">
        <f>SUM(Details[[#This Row],[Actual_Cost]],Details[[#This Row],[Profit]])</f>
        <v>17</v>
      </c>
      <c r="F64">
        <v>1</v>
      </c>
      <c r="G64">
        <f>PRODUCT(Details[[#This Row],[Selling_Cost]],Details[[#This Row],[Quantity]])</f>
        <v>17</v>
      </c>
      <c r="H64" t="s">
        <v>8</v>
      </c>
      <c r="I64" t="s">
        <v>69</v>
      </c>
      <c r="J64" t="s">
        <v>10</v>
      </c>
      <c r="K64" t="s">
        <v>587</v>
      </c>
      <c r="L64" t="s">
        <v>563</v>
      </c>
    </row>
    <row r="65" spans="1:12" x14ac:dyDescent="0.3">
      <c r="A65" t="s">
        <v>87</v>
      </c>
      <c r="B65">
        <v>15</v>
      </c>
      <c r="C65">
        <v>2</v>
      </c>
      <c r="D65">
        <v>15</v>
      </c>
      <c r="E65">
        <f>SUM(Details[[#This Row],[Actual_Cost]],Details[[#This Row],[Profit]])</f>
        <v>17</v>
      </c>
      <c r="F65">
        <v>1</v>
      </c>
      <c r="G65">
        <f>PRODUCT(Details[[#This Row],[Selling_Cost]],Details[[#This Row],[Quantity]])</f>
        <v>17</v>
      </c>
      <c r="H65" t="s">
        <v>8</v>
      </c>
      <c r="I65" t="s">
        <v>69</v>
      </c>
      <c r="J65" t="s">
        <v>42</v>
      </c>
      <c r="K65" t="s">
        <v>587</v>
      </c>
      <c r="L65" t="s">
        <v>550</v>
      </c>
    </row>
    <row r="66" spans="1:12" x14ac:dyDescent="0.3">
      <c r="A66" t="s">
        <v>88</v>
      </c>
      <c r="B66">
        <v>209</v>
      </c>
      <c r="C66">
        <v>2</v>
      </c>
      <c r="D66">
        <v>209</v>
      </c>
      <c r="E66">
        <f>SUM(Details[[#This Row],[Actual_Cost]],Details[[#This Row],[Profit]])</f>
        <v>211</v>
      </c>
      <c r="F66">
        <v>1</v>
      </c>
      <c r="G66">
        <f>PRODUCT(Details[[#This Row],[Selling_Cost]],Details[[#This Row],[Quantity]])</f>
        <v>211</v>
      </c>
      <c r="H66" t="s">
        <v>8</v>
      </c>
      <c r="I66" t="s">
        <v>9</v>
      </c>
      <c r="J66" t="s">
        <v>10</v>
      </c>
      <c r="K66" t="s">
        <v>552</v>
      </c>
      <c r="L66" t="s">
        <v>546</v>
      </c>
    </row>
    <row r="67" spans="1:12" x14ac:dyDescent="0.3">
      <c r="A67" t="s">
        <v>89</v>
      </c>
      <c r="B67">
        <v>6</v>
      </c>
      <c r="C67">
        <v>3</v>
      </c>
      <c r="D67">
        <v>6</v>
      </c>
      <c r="E67">
        <f>SUM(Details[[#This Row],[Actual_Cost]],Details[[#This Row],[Profit]])</f>
        <v>9</v>
      </c>
      <c r="F67">
        <v>1</v>
      </c>
      <c r="G67">
        <f>PRODUCT(Details[[#This Row],[Selling_Cost]],Details[[#This Row],[Quantity]])</f>
        <v>9</v>
      </c>
      <c r="H67" t="s">
        <v>8</v>
      </c>
      <c r="I67" t="s">
        <v>48</v>
      </c>
      <c r="J67" t="s">
        <v>10</v>
      </c>
      <c r="K67" t="s">
        <v>548</v>
      </c>
      <c r="L67" t="s">
        <v>624</v>
      </c>
    </row>
    <row r="68" spans="1:12" x14ac:dyDescent="0.3">
      <c r="A68" t="s">
        <v>90</v>
      </c>
      <c r="B68">
        <v>9</v>
      </c>
      <c r="C68">
        <v>3</v>
      </c>
      <c r="D68">
        <v>9</v>
      </c>
      <c r="E68">
        <f>SUM(Details[[#This Row],[Actual_Cost]],Details[[#This Row],[Profit]])</f>
        <v>12</v>
      </c>
      <c r="F68">
        <v>1</v>
      </c>
      <c r="G68">
        <f>PRODUCT(Details[[#This Row],[Selling_Cost]],Details[[#This Row],[Quantity]])</f>
        <v>12</v>
      </c>
      <c r="H68" t="s">
        <v>8</v>
      </c>
      <c r="I68" t="s">
        <v>58</v>
      </c>
      <c r="J68" t="s">
        <v>10</v>
      </c>
      <c r="K68" t="s">
        <v>548</v>
      </c>
      <c r="L68" t="s">
        <v>541</v>
      </c>
    </row>
    <row r="69" spans="1:12" x14ac:dyDescent="0.3">
      <c r="A69" t="s">
        <v>91</v>
      </c>
      <c r="B69">
        <v>12</v>
      </c>
      <c r="C69">
        <v>3</v>
      </c>
      <c r="D69">
        <v>12</v>
      </c>
      <c r="E69">
        <f>SUM(Details[[#This Row],[Actual_Cost]],Details[[#This Row],[Profit]])</f>
        <v>15</v>
      </c>
      <c r="F69">
        <v>1</v>
      </c>
      <c r="G69">
        <f>PRODUCT(Details[[#This Row],[Selling_Cost]],Details[[#This Row],[Quantity]])</f>
        <v>15</v>
      </c>
      <c r="H69" t="s">
        <v>8</v>
      </c>
      <c r="I69" t="s">
        <v>29</v>
      </c>
      <c r="J69" t="s">
        <v>18</v>
      </c>
      <c r="K69" t="s">
        <v>626</v>
      </c>
      <c r="L69" t="s">
        <v>583</v>
      </c>
    </row>
    <row r="70" spans="1:12" x14ac:dyDescent="0.3">
      <c r="A70" t="s">
        <v>92</v>
      </c>
      <c r="B70">
        <v>13</v>
      </c>
      <c r="C70">
        <v>3</v>
      </c>
      <c r="D70">
        <v>13</v>
      </c>
      <c r="E70">
        <f>SUM(Details[[#This Row],[Actual_Cost]],Details[[#This Row],[Profit]])</f>
        <v>16</v>
      </c>
      <c r="F70">
        <v>1</v>
      </c>
      <c r="G70">
        <f>PRODUCT(Details[[#This Row],[Selling_Cost]],Details[[#This Row],[Quantity]])</f>
        <v>16</v>
      </c>
      <c r="H70" t="s">
        <v>8</v>
      </c>
      <c r="I70" t="s">
        <v>69</v>
      </c>
      <c r="J70" t="s">
        <v>10</v>
      </c>
      <c r="K70" t="s">
        <v>543</v>
      </c>
      <c r="L70" t="s">
        <v>546</v>
      </c>
    </row>
    <row r="71" spans="1:12" x14ac:dyDescent="0.3">
      <c r="A71" t="s">
        <v>74</v>
      </c>
      <c r="B71">
        <v>49</v>
      </c>
      <c r="C71">
        <v>3</v>
      </c>
      <c r="D71">
        <v>49</v>
      </c>
      <c r="E71">
        <f>SUM(Details[[#This Row],[Actual_Cost]],Details[[#This Row],[Profit]])</f>
        <v>52</v>
      </c>
      <c r="F71">
        <v>1</v>
      </c>
      <c r="G71">
        <f>PRODUCT(Details[[#This Row],[Selling_Cost]],Details[[#This Row],[Quantity]])</f>
        <v>52</v>
      </c>
      <c r="H71" t="s">
        <v>8</v>
      </c>
      <c r="I71" t="s">
        <v>61</v>
      </c>
      <c r="J71" t="s">
        <v>10</v>
      </c>
      <c r="K71" t="s">
        <v>552</v>
      </c>
      <c r="L71" t="s">
        <v>624</v>
      </c>
    </row>
    <row r="72" spans="1:12" x14ac:dyDescent="0.3">
      <c r="A72" t="s">
        <v>93</v>
      </c>
      <c r="B72">
        <v>277</v>
      </c>
      <c r="C72">
        <v>3</v>
      </c>
      <c r="D72">
        <v>277</v>
      </c>
      <c r="E72">
        <f>SUM(Details[[#This Row],[Actual_Cost]],Details[[#This Row],[Profit]])</f>
        <v>280</v>
      </c>
      <c r="F72">
        <v>1</v>
      </c>
      <c r="G72">
        <f>PRODUCT(Details[[#This Row],[Selling_Cost]],Details[[#This Row],[Quantity]])</f>
        <v>280</v>
      </c>
      <c r="H72" t="s">
        <v>13</v>
      </c>
      <c r="I72" t="s">
        <v>34</v>
      </c>
      <c r="J72" t="s">
        <v>10</v>
      </c>
      <c r="K72" t="s">
        <v>587</v>
      </c>
      <c r="L72" t="s">
        <v>550</v>
      </c>
    </row>
    <row r="73" spans="1:12" x14ac:dyDescent="0.3">
      <c r="A73" t="s">
        <v>94</v>
      </c>
      <c r="B73">
        <v>10</v>
      </c>
      <c r="C73">
        <v>4</v>
      </c>
      <c r="D73">
        <v>10</v>
      </c>
      <c r="E73">
        <f>SUM(Details[[#This Row],[Actual_Cost]],Details[[#This Row],[Profit]])</f>
        <v>14</v>
      </c>
      <c r="F73">
        <v>1</v>
      </c>
      <c r="G73">
        <f>PRODUCT(Details[[#This Row],[Selling_Cost]],Details[[#This Row],[Quantity]])</f>
        <v>14</v>
      </c>
      <c r="H73" t="s">
        <v>8</v>
      </c>
      <c r="I73" t="s">
        <v>44</v>
      </c>
      <c r="J73" t="s">
        <v>18</v>
      </c>
      <c r="K73" t="s">
        <v>561</v>
      </c>
      <c r="L73" t="s">
        <v>567</v>
      </c>
    </row>
    <row r="74" spans="1:12" x14ac:dyDescent="0.3">
      <c r="A74" t="s">
        <v>95</v>
      </c>
      <c r="B74">
        <v>13</v>
      </c>
      <c r="C74">
        <v>4</v>
      </c>
      <c r="D74">
        <v>13</v>
      </c>
      <c r="E74">
        <f>SUM(Details[[#This Row],[Actual_Cost]],Details[[#This Row],[Profit]])</f>
        <v>17</v>
      </c>
      <c r="F74">
        <v>1</v>
      </c>
      <c r="G74">
        <f>PRODUCT(Details[[#This Row],[Selling_Cost]],Details[[#This Row],[Quantity]])</f>
        <v>17</v>
      </c>
      <c r="H74" t="s">
        <v>8</v>
      </c>
      <c r="I74" t="s">
        <v>69</v>
      </c>
      <c r="J74" t="s">
        <v>18</v>
      </c>
      <c r="K74" t="s">
        <v>552</v>
      </c>
      <c r="L74" t="s">
        <v>546</v>
      </c>
    </row>
    <row r="75" spans="1:12" x14ac:dyDescent="0.3">
      <c r="A75" t="s">
        <v>96</v>
      </c>
      <c r="B75">
        <v>15</v>
      </c>
      <c r="C75">
        <v>4</v>
      </c>
      <c r="D75">
        <v>15</v>
      </c>
      <c r="E75">
        <f>SUM(Details[[#This Row],[Actual_Cost]],Details[[#This Row],[Profit]])</f>
        <v>19</v>
      </c>
      <c r="F75">
        <v>1</v>
      </c>
      <c r="G75">
        <f>PRODUCT(Details[[#This Row],[Selling_Cost]],Details[[#This Row],[Quantity]])</f>
        <v>19</v>
      </c>
      <c r="H75" t="s">
        <v>8</v>
      </c>
      <c r="I75" t="s">
        <v>48</v>
      </c>
      <c r="J75" t="s">
        <v>42</v>
      </c>
      <c r="K75" t="s">
        <v>607</v>
      </c>
      <c r="L75" t="s">
        <v>583</v>
      </c>
    </row>
    <row r="76" spans="1:12" x14ac:dyDescent="0.3">
      <c r="A76" t="s">
        <v>73</v>
      </c>
      <c r="B76">
        <v>22</v>
      </c>
      <c r="C76">
        <v>4</v>
      </c>
      <c r="D76">
        <v>22</v>
      </c>
      <c r="E76">
        <f>SUM(Details[[#This Row],[Actual_Cost]],Details[[#This Row],[Profit]])</f>
        <v>26</v>
      </c>
      <c r="F76">
        <v>1</v>
      </c>
      <c r="G76">
        <f>PRODUCT(Details[[#This Row],[Selling_Cost]],Details[[#This Row],[Quantity]])</f>
        <v>26</v>
      </c>
      <c r="H76" t="s">
        <v>8</v>
      </c>
      <c r="I76" t="s">
        <v>29</v>
      </c>
      <c r="J76" t="s">
        <v>10</v>
      </c>
      <c r="K76" t="s">
        <v>626</v>
      </c>
      <c r="L76" t="s">
        <v>544</v>
      </c>
    </row>
    <row r="77" spans="1:12" x14ac:dyDescent="0.3">
      <c r="A77" t="s">
        <v>97</v>
      </c>
      <c r="B77">
        <v>27</v>
      </c>
      <c r="C77">
        <v>4</v>
      </c>
      <c r="D77">
        <v>27</v>
      </c>
      <c r="E77">
        <f>SUM(Details[[#This Row],[Actual_Cost]],Details[[#This Row],[Profit]])</f>
        <v>31</v>
      </c>
      <c r="F77">
        <v>1</v>
      </c>
      <c r="G77">
        <f>PRODUCT(Details[[#This Row],[Selling_Cost]],Details[[#This Row],[Quantity]])</f>
        <v>31</v>
      </c>
      <c r="H77" t="s">
        <v>8</v>
      </c>
      <c r="I77" t="s">
        <v>48</v>
      </c>
      <c r="J77" t="s">
        <v>10</v>
      </c>
      <c r="K77" t="s">
        <v>661</v>
      </c>
      <c r="L77" t="s">
        <v>541</v>
      </c>
    </row>
    <row r="78" spans="1:12" x14ac:dyDescent="0.3">
      <c r="A78" t="s">
        <v>98</v>
      </c>
      <c r="B78">
        <v>28</v>
      </c>
      <c r="C78">
        <v>4</v>
      </c>
      <c r="D78">
        <v>28</v>
      </c>
      <c r="E78">
        <f>SUM(Details[[#This Row],[Actual_Cost]],Details[[#This Row],[Profit]])</f>
        <v>32</v>
      </c>
      <c r="F78">
        <v>1</v>
      </c>
      <c r="G78">
        <f>PRODUCT(Details[[#This Row],[Selling_Cost]],Details[[#This Row],[Quantity]])</f>
        <v>32</v>
      </c>
      <c r="H78" t="s">
        <v>8</v>
      </c>
      <c r="I78" t="s">
        <v>46</v>
      </c>
      <c r="J78" t="s">
        <v>10</v>
      </c>
      <c r="K78" t="s">
        <v>607</v>
      </c>
      <c r="L78" t="s">
        <v>550</v>
      </c>
    </row>
    <row r="79" spans="1:12" x14ac:dyDescent="0.3">
      <c r="A79" t="s">
        <v>74</v>
      </c>
      <c r="B79">
        <v>159</v>
      </c>
      <c r="C79">
        <v>4</v>
      </c>
      <c r="D79">
        <v>159</v>
      </c>
      <c r="E79">
        <f>SUM(Details[[#This Row],[Actual_Cost]],Details[[#This Row],[Profit]])</f>
        <v>163</v>
      </c>
      <c r="F79">
        <v>1</v>
      </c>
      <c r="G79">
        <f>PRODUCT(Details[[#This Row],[Selling_Cost]],Details[[#This Row],[Quantity]])</f>
        <v>163</v>
      </c>
      <c r="H79" t="s">
        <v>8</v>
      </c>
      <c r="I79" t="s">
        <v>9</v>
      </c>
      <c r="J79" t="s">
        <v>10</v>
      </c>
      <c r="K79" t="s">
        <v>552</v>
      </c>
      <c r="L79" t="s">
        <v>624</v>
      </c>
    </row>
    <row r="80" spans="1:12" x14ac:dyDescent="0.3">
      <c r="A80" t="s">
        <v>99</v>
      </c>
      <c r="B80">
        <v>189</v>
      </c>
      <c r="C80">
        <v>4</v>
      </c>
      <c r="D80">
        <v>189</v>
      </c>
      <c r="E80">
        <f>SUM(Details[[#This Row],[Actual_Cost]],Details[[#This Row],[Profit]])</f>
        <v>193</v>
      </c>
      <c r="F80">
        <v>1</v>
      </c>
      <c r="G80">
        <f>PRODUCT(Details[[#This Row],[Selling_Cost]],Details[[#This Row],[Quantity]])</f>
        <v>193</v>
      </c>
      <c r="H80" t="s">
        <v>8</v>
      </c>
      <c r="I80" t="s">
        <v>9</v>
      </c>
      <c r="J80" t="s">
        <v>18</v>
      </c>
      <c r="K80" t="s">
        <v>543</v>
      </c>
      <c r="L80" t="s">
        <v>544</v>
      </c>
    </row>
    <row r="81" spans="1:12" x14ac:dyDescent="0.3">
      <c r="A81" t="s">
        <v>100</v>
      </c>
      <c r="B81">
        <v>10</v>
      </c>
      <c r="C81">
        <v>5</v>
      </c>
      <c r="D81">
        <v>10</v>
      </c>
      <c r="E81">
        <f>SUM(Details[[#This Row],[Actual_Cost]],Details[[#This Row],[Profit]])</f>
        <v>15</v>
      </c>
      <c r="F81">
        <v>1</v>
      </c>
      <c r="G81">
        <f>PRODUCT(Details[[#This Row],[Selling_Cost]],Details[[#This Row],[Quantity]])</f>
        <v>15</v>
      </c>
      <c r="H81" t="s">
        <v>8</v>
      </c>
      <c r="I81" t="s">
        <v>29</v>
      </c>
      <c r="J81" t="s">
        <v>10</v>
      </c>
      <c r="K81" t="s">
        <v>543</v>
      </c>
      <c r="L81" t="s">
        <v>544</v>
      </c>
    </row>
    <row r="82" spans="1:12" x14ac:dyDescent="0.3">
      <c r="A82" t="s">
        <v>101</v>
      </c>
      <c r="B82">
        <v>11</v>
      </c>
      <c r="C82">
        <v>5</v>
      </c>
      <c r="D82">
        <v>11</v>
      </c>
      <c r="E82">
        <f>SUM(Details[[#This Row],[Actual_Cost]],Details[[#This Row],[Profit]])</f>
        <v>16</v>
      </c>
      <c r="F82">
        <v>1</v>
      </c>
      <c r="G82">
        <f>PRODUCT(Details[[#This Row],[Selling_Cost]],Details[[#This Row],[Quantity]])</f>
        <v>16</v>
      </c>
      <c r="H82" t="s">
        <v>8</v>
      </c>
      <c r="I82" t="s">
        <v>58</v>
      </c>
      <c r="J82" t="s">
        <v>10</v>
      </c>
      <c r="K82" t="s">
        <v>548</v>
      </c>
      <c r="L82" t="s">
        <v>544</v>
      </c>
    </row>
    <row r="83" spans="1:12" x14ac:dyDescent="0.3">
      <c r="A83" t="s">
        <v>102</v>
      </c>
      <c r="B83">
        <v>14</v>
      </c>
      <c r="C83">
        <v>5</v>
      </c>
      <c r="D83">
        <v>14</v>
      </c>
      <c r="E83">
        <f>SUM(Details[[#This Row],[Actual_Cost]],Details[[#This Row],[Profit]])</f>
        <v>19</v>
      </c>
      <c r="F83">
        <v>1</v>
      </c>
      <c r="G83">
        <f>PRODUCT(Details[[#This Row],[Selling_Cost]],Details[[#This Row],[Quantity]])</f>
        <v>19</v>
      </c>
      <c r="H83" t="s">
        <v>8</v>
      </c>
      <c r="I83" t="s">
        <v>48</v>
      </c>
      <c r="J83" t="s">
        <v>10</v>
      </c>
      <c r="K83" t="s">
        <v>552</v>
      </c>
      <c r="L83" t="s">
        <v>554</v>
      </c>
    </row>
    <row r="84" spans="1:12" x14ac:dyDescent="0.3">
      <c r="A84" t="s">
        <v>103</v>
      </c>
      <c r="B84">
        <v>14</v>
      </c>
      <c r="C84">
        <v>5</v>
      </c>
      <c r="D84">
        <v>14</v>
      </c>
      <c r="E84">
        <f>SUM(Details[[#This Row],[Actual_Cost]],Details[[#This Row],[Profit]])</f>
        <v>19</v>
      </c>
      <c r="F84">
        <v>1</v>
      </c>
      <c r="G84">
        <f>PRODUCT(Details[[#This Row],[Selling_Cost]],Details[[#This Row],[Quantity]])</f>
        <v>19</v>
      </c>
      <c r="H84" t="s">
        <v>8</v>
      </c>
      <c r="I84" t="s">
        <v>48</v>
      </c>
      <c r="J84" t="s">
        <v>18</v>
      </c>
      <c r="K84" t="s">
        <v>610</v>
      </c>
      <c r="L84" t="s">
        <v>541</v>
      </c>
    </row>
    <row r="85" spans="1:12" x14ac:dyDescent="0.3">
      <c r="A85" t="s">
        <v>104</v>
      </c>
      <c r="B85">
        <v>16</v>
      </c>
      <c r="C85">
        <v>5</v>
      </c>
      <c r="D85">
        <v>16</v>
      </c>
      <c r="E85">
        <f>SUM(Details[[#This Row],[Actual_Cost]],Details[[#This Row],[Profit]])</f>
        <v>21</v>
      </c>
      <c r="F85">
        <v>1</v>
      </c>
      <c r="G85">
        <f>PRODUCT(Details[[#This Row],[Selling_Cost]],Details[[#This Row],[Quantity]])</f>
        <v>21</v>
      </c>
      <c r="H85" t="s">
        <v>8</v>
      </c>
      <c r="I85" t="s">
        <v>29</v>
      </c>
      <c r="J85" t="s">
        <v>18</v>
      </c>
      <c r="K85" t="s">
        <v>561</v>
      </c>
      <c r="L85" t="s">
        <v>563</v>
      </c>
    </row>
    <row r="86" spans="1:12" x14ac:dyDescent="0.3">
      <c r="A86" t="s">
        <v>105</v>
      </c>
      <c r="B86">
        <v>17</v>
      </c>
      <c r="C86">
        <v>5</v>
      </c>
      <c r="D86">
        <v>17</v>
      </c>
      <c r="E86">
        <f>SUM(Details[[#This Row],[Actual_Cost]],Details[[#This Row],[Profit]])</f>
        <v>22</v>
      </c>
      <c r="F86">
        <v>1</v>
      </c>
      <c r="G86">
        <f>PRODUCT(Details[[#This Row],[Selling_Cost]],Details[[#This Row],[Quantity]])</f>
        <v>22</v>
      </c>
      <c r="H86" t="s">
        <v>8</v>
      </c>
      <c r="I86" t="s">
        <v>48</v>
      </c>
      <c r="J86" t="s">
        <v>18</v>
      </c>
      <c r="K86" t="s">
        <v>548</v>
      </c>
      <c r="L86" t="s">
        <v>567</v>
      </c>
    </row>
    <row r="87" spans="1:12" x14ac:dyDescent="0.3">
      <c r="A87" t="s">
        <v>106</v>
      </c>
      <c r="B87">
        <v>27</v>
      </c>
      <c r="C87">
        <v>5</v>
      </c>
      <c r="D87">
        <v>27</v>
      </c>
      <c r="E87">
        <f>SUM(Details[[#This Row],[Actual_Cost]],Details[[#This Row],[Profit]])</f>
        <v>32</v>
      </c>
      <c r="F87">
        <v>1</v>
      </c>
      <c r="G87">
        <f>PRODUCT(Details[[#This Row],[Selling_Cost]],Details[[#This Row],[Quantity]])</f>
        <v>32</v>
      </c>
      <c r="H87" t="s">
        <v>8</v>
      </c>
      <c r="I87" t="s">
        <v>29</v>
      </c>
      <c r="J87" t="s">
        <v>18</v>
      </c>
      <c r="K87" t="s">
        <v>596</v>
      </c>
      <c r="L87" t="s">
        <v>541</v>
      </c>
    </row>
    <row r="88" spans="1:12" x14ac:dyDescent="0.3">
      <c r="A88" t="s">
        <v>107</v>
      </c>
      <c r="B88">
        <v>16</v>
      </c>
      <c r="C88">
        <v>6</v>
      </c>
      <c r="D88">
        <v>16</v>
      </c>
      <c r="E88">
        <f>SUM(Details[[#This Row],[Actual_Cost]],Details[[#This Row],[Profit]])</f>
        <v>22</v>
      </c>
      <c r="F88">
        <v>1</v>
      </c>
      <c r="G88">
        <f>PRODUCT(Details[[#This Row],[Selling_Cost]],Details[[#This Row],[Quantity]])</f>
        <v>22</v>
      </c>
      <c r="H88" t="s">
        <v>8</v>
      </c>
      <c r="I88" t="s">
        <v>29</v>
      </c>
      <c r="J88" t="s">
        <v>10</v>
      </c>
      <c r="K88" t="s">
        <v>539</v>
      </c>
      <c r="L88" t="s">
        <v>563</v>
      </c>
    </row>
    <row r="89" spans="1:12" x14ac:dyDescent="0.3">
      <c r="A89" t="s">
        <v>108</v>
      </c>
      <c r="B89">
        <v>17</v>
      </c>
      <c r="C89">
        <v>6</v>
      </c>
      <c r="D89">
        <v>17</v>
      </c>
      <c r="E89">
        <f>SUM(Details[[#This Row],[Actual_Cost]],Details[[#This Row],[Profit]])</f>
        <v>23</v>
      </c>
      <c r="F89">
        <v>1</v>
      </c>
      <c r="G89">
        <f>PRODUCT(Details[[#This Row],[Selling_Cost]],Details[[#This Row],[Quantity]])</f>
        <v>23</v>
      </c>
      <c r="H89" t="s">
        <v>8</v>
      </c>
      <c r="I89" t="s">
        <v>29</v>
      </c>
      <c r="J89" t="s">
        <v>18</v>
      </c>
      <c r="K89" t="s">
        <v>548</v>
      </c>
      <c r="L89" t="s">
        <v>585</v>
      </c>
    </row>
    <row r="90" spans="1:12" x14ac:dyDescent="0.3">
      <c r="A90" t="s">
        <v>109</v>
      </c>
      <c r="B90">
        <v>20</v>
      </c>
      <c r="C90">
        <v>6</v>
      </c>
      <c r="D90">
        <v>20</v>
      </c>
      <c r="E90">
        <f>SUM(Details[[#This Row],[Actual_Cost]],Details[[#This Row],[Profit]])</f>
        <v>26</v>
      </c>
      <c r="F90">
        <v>1</v>
      </c>
      <c r="G90">
        <f>PRODUCT(Details[[#This Row],[Selling_Cost]],Details[[#This Row],[Quantity]])</f>
        <v>26</v>
      </c>
      <c r="H90" t="s">
        <v>8</v>
      </c>
      <c r="I90" t="s">
        <v>46</v>
      </c>
      <c r="J90" t="s">
        <v>10</v>
      </c>
      <c r="K90" t="s">
        <v>605</v>
      </c>
      <c r="L90" t="s">
        <v>541</v>
      </c>
    </row>
    <row r="91" spans="1:12" x14ac:dyDescent="0.3">
      <c r="A91" t="s">
        <v>110</v>
      </c>
      <c r="B91">
        <v>30</v>
      </c>
      <c r="C91">
        <v>6</v>
      </c>
      <c r="D91">
        <v>30</v>
      </c>
      <c r="E91">
        <f>SUM(Details[[#This Row],[Actual_Cost]],Details[[#This Row],[Profit]])</f>
        <v>36</v>
      </c>
      <c r="F91">
        <v>1</v>
      </c>
      <c r="G91">
        <f>PRODUCT(Details[[#This Row],[Selling_Cost]],Details[[#This Row],[Quantity]])</f>
        <v>36</v>
      </c>
      <c r="H91" t="s">
        <v>8</v>
      </c>
      <c r="I91" t="s">
        <v>46</v>
      </c>
      <c r="J91" t="s">
        <v>10</v>
      </c>
      <c r="K91" t="s">
        <v>578</v>
      </c>
      <c r="L91" t="s">
        <v>544</v>
      </c>
    </row>
    <row r="92" spans="1:12" x14ac:dyDescent="0.3">
      <c r="A92" t="s">
        <v>111</v>
      </c>
      <c r="B92">
        <v>48</v>
      </c>
      <c r="C92">
        <v>6</v>
      </c>
      <c r="D92">
        <v>48</v>
      </c>
      <c r="E92">
        <f>SUM(Details[[#This Row],[Actual_Cost]],Details[[#This Row],[Profit]])</f>
        <v>54</v>
      </c>
      <c r="F92">
        <v>1</v>
      </c>
      <c r="G92">
        <f>PRODUCT(Details[[#This Row],[Selling_Cost]],Details[[#This Row],[Quantity]])</f>
        <v>54</v>
      </c>
      <c r="H92" t="s">
        <v>8</v>
      </c>
      <c r="I92" t="s">
        <v>9</v>
      </c>
      <c r="J92" t="s">
        <v>10</v>
      </c>
      <c r="K92" t="s">
        <v>548</v>
      </c>
      <c r="L92" t="s">
        <v>567</v>
      </c>
    </row>
    <row r="93" spans="1:12" x14ac:dyDescent="0.3">
      <c r="A93" t="s">
        <v>112</v>
      </c>
      <c r="B93">
        <v>59</v>
      </c>
      <c r="C93">
        <v>6</v>
      </c>
      <c r="D93">
        <v>59</v>
      </c>
      <c r="E93">
        <f>SUM(Details[[#This Row],[Actual_Cost]],Details[[#This Row],[Profit]])</f>
        <v>65</v>
      </c>
      <c r="F93">
        <v>1</v>
      </c>
      <c r="G93">
        <f>PRODUCT(Details[[#This Row],[Selling_Cost]],Details[[#This Row],[Quantity]])</f>
        <v>65</v>
      </c>
      <c r="H93" t="s">
        <v>13</v>
      </c>
      <c r="I93" t="s">
        <v>55</v>
      </c>
      <c r="J93" t="s">
        <v>18</v>
      </c>
      <c r="K93" t="s">
        <v>548</v>
      </c>
      <c r="L93" t="s">
        <v>563</v>
      </c>
    </row>
    <row r="94" spans="1:12" x14ac:dyDescent="0.3">
      <c r="A94" t="s">
        <v>113</v>
      </c>
      <c r="B94">
        <v>78</v>
      </c>
      <c r="C94">
        <v>7</v>
      </c>
      <c r="D94">
        <v>78</v>
      </c>
      <c r="E94">
        <f>SUM(Details[[#This Row],[Actual_Cost]],Details[[#This Row],[Profit]])</f>
        <v>85</v>
      </c>
      <c r="F94">
        <v>1</v>
      </c>
      <c r="G94">
        <f>PRODUCT(Details[[#This Row],[Selling_Cost]],Details[[#This Row],[Quantity]])</f>
        <v>85</v>
      </c>
      <c r="H94" t="s">
        <v>16</v>
      </c>
      <c r="I94" t="s">
        <v>23</v>
      </c>
      <c r="J94" t="s">
        <v>10</v>
      </c>
      <c r="K94" t="s">
        <v>641</v>
      </c>
      <c r="L94" t="s">
        <v>544</v>
      </c>
    </row>
    <row r="95" spans="1:12" x14ac:dyDescent="0.3">
      <c r="A95" t="s">
        <v>114</v>
      </c>
      <c r="B95">
        <v>148</v>
      </c>
      <c r="C95">
        <v>9</v>
      </c>
      <c r="D95">
        <v>148</v>
      </c>
      <c r="E95">
        <f>SUM(Details[[#This Row],[Actual_Cost]],Details[[#This Row],[Profit]])</f>
        <v>157</v>
      </c>
      <c r="F95">
        <v>1</v>
      </c>
      <c r="G95">
        <f>PRODUCT(Details[[#This Row],[Selling_Cost]],Details[[#This Row],[Quantity]])</f>
        <v>157</v>
      </c>
      <c r="H95" t="s">
        <v>13</v>
      </c>
      <c r="I95" t="s">
        <v>34</v>
      </c>
      <c r="J95" t="s">
        <v>18</v>
      </c>
      <c r="K95" t="s">
        <v>569</v>
      </c>
      <c r="L95" t="s">
        <v>546</v>
      </c>
    </row>
    <row r="96" spans="1:12" x14ac:dyDescent="0.3">
      <c r="A96" t="s">
        <v>115</v>
      </c>
      <c r="B96">
        <v>21</v>
      </c>
      <c r="C96">
        <v>10</v>
      </c>
      <c r="D96">
        <v>21</v>
      </c>
      <c r="E96">
        <f>SUM(Details[[#This Row],[Actual_Cost]],Details[[#This Row],[Profit]])</f>
        <v>31</v>
      </c>
      <c r="F96">
        <v>1</v>
      </c>
      <c r="G96">
        <f>PRODUCT(Details[[#This Row],[Selling_Cost]],Details[[#This Row],[Quantity]])</f>
        <v>31</v>
      </c>
      <c r="H96" t="s">
        <v>8</v>
      </c>
      <c r="I96" t="s">
        <v>46</v>
      </c>
      <c r="J96" t="s">
        <v>42</v>
      </c>
      <c r="K96" t="s">
        <v>569</v>
      </c>
      <c r="L96" t="s">
        <v>544</v>
      </c>
    </row>
    <row r="97" spans="1:12" x14ac:dyDescent="0.3">
      <c r="A97" t="s">
        <v>116</v>
      </c>
      <c r="B97">
        <v>25</v>
      </c>
      <c r="C97">
        <v>10</v>
      </c>
      <c r="D97">
        <v>25</v>
      </c>
      <c r="E97">
        <f>SUM(Details[[#This Row],[Actual_Cost]],Details[[#This Row],[Profit]])</f>
        <v>35</v>
      </c>
      <c r="F97">
        <v>1</v>
      </c>
      <c r="G97">
        <f>PRODUCT(Details[[#This Row],[Selling_Cost]],Details[[#This Row],[Quantity]])</f>
        <v>35</v>
      </c>
      <c r="H97" t="s">
        <v>16</v>
      </c>
      <c r="I97" t="s">
        <v>32</v>
      </c>
      <c r="J97" t="s">
        <v>18</v>
      </c>
      <c r="K97" t="s">
        <v>578</v>
      </c>
      <c r="L97" t="s">
        <v>546</v>
      </c>
    </row>
    <row r="98" spans="1:12" x14ac:dyDescent="0.3">
      <c r="A98" t="s">
        <v>117</v>
      </c>
      <c r="B98">
        <v>31</v>
      </c>
      <c r="C98">
        <v>10</v>
      </c>
      <c r="D98">
        <v>31</v>
      </c>
      <c r="E98">
        <f>SUM(Details[[#This Row],[Actual_Cost]],Details[[#This Row],[Profit]])</f>
        <v>41</v>
      </c>
      <c r="F98">
        <v>1</v>
      </c>
      <c r="G98">
        <f>PRODUCT(Details[[#This Row],[Selling_Cost]],Details[[#This Row],[Quantity]])</f>
        <v>41</v>
      </c>
      <c r="H98" t="s">
        <v>8</v>
      </c>
      <c r="I98" t="s">
        <v>44</v>
      </c>
      <c r="J98" t="s">
        <v>10</v>
      </c>
      <c r="K98" t="s">
        <v>569</v>
      </c>
      <c r="L98" t="s">
        <v>550</v>
      </c>
    </row>
    <row r="99" spans="1:12" x14ac:dyDescent="0.3">
      <c r="A99" t="s">
        <v>118</v>
      </c>
      <c r="B99">
        <v>443</v>
      </c>
      <c r="C99">
        <v>11</v>
      </c>
      <c r="D99">
        <v>443</v>
      </c>
      <c r="E99">
        <f>SUM(Details[[#This Row],[Actual_Cost]],Details[[#This Row],[Profit]])</f>
        <v>454</v>
      </c>
      <c r="F99">
        <v>1</v>
      </c>
      <c r="G99">
        <f>PRODUCT(Details[[#This Row],[Selling_Cost]],Details[[#This Row],[Quantity]])</f>
        <v>454</v>
      </c>
      <c r="H99" t="s">
        <v>8</v>
      </c>
      <c r="I99" t="s">
        <v>9</v>
      </c>
      <c r="J99" t="s">
        <v>10</v>
      </c>
      <c r="K99" t="s">
        <v>539</v>
      </c>
      <c r="L99" t="s">
        <v>541</v>
      </c>
    </row>
    <row r="100" spans="1:12" x14ac:dyDescent="0.3">
      <c r="A100" t="s">
        <v>119</v>
      </c>
      <c r="B100">
        <v>27</v>
      </c>
      <c r="C100">
        <v>12</v>
      </c>
      <c r="D100">
        <v>27</v>
      </c>
      <c r="E100">
        <f>SUM(Details[[#This Row],[Actual_Cost]],Details[[#This Row],[Profit]])</f>
        <v>39</v>
      </c>
      <c r="F100">
        <v>1</v>
      </c>
      <c r="G100">
        <f>PRODUCT(Details[[#This Row],[Selling_Cost]],Details[[#This Row],[Quantity]])</f>
        <v>39</v>
      </c>
      <c r="H100" t="s">
        <v>8</v>
      </c>
      <c r="I100" t="s">
        <v>29</v>
      </c>
      <c r="J100" t="s">
        <v>42</v>
      </c>
      <c r="K100" t="s">
        <v>548</v>
      </c>
      <c r="L100" t="s">
        <v>550</v>
      </c>
    </row>
    <row r="101" spans="1:12" x14ac:dyDescent="0.3">
      <c r="A101" t="s">
        <v>120</v>
      </c>
      <c r="B101">
        <v>206</v>
      </c>
      <c r="C101">
        <v>12</v>
      </c>
      <c r="D101">
        <v>206</v>
      </c>
      <c r="E101">
        <f>SUM(Details[[#This Row],[Actual_Cost]],Details[[#This Row],[Profit]])</f>
        <v>218</v>
      </c>
      <c r="F101">
        <v>1</v>
      </c>
      <c r="G101">
        <f>PRODUCT(Details[[#This Row],[Selling_Cost]],Details[[#This Row],[Quantity]])</f>
        <v>218</v>
      </c>
      <c r="H101" t="s">
        <v>13</v>
      </c>
      <c r="I101" t="s">
        <v>20</v>
      </c>
      <c r="J101" t="s">
        <v>27</v>
      </c>
      <c r="K101" t="s">
        <v>552</v>
      </c>
      <c r="L101" t="s">
        <v>541</v>
      </c>
    </row>
    <row r="102" spans="1:12" x14ac:dyDescent="0.3">
      <c r="A102" t="s">
        <v>30</v>
      </c>
      <c r="B102">
        <v>30</v>
      </c>
      <c r="C102">
        <v>13</v>
      </c>
      <c r="D102">
        <v>30</v>
      </c>
      <c r="E102">
        <f>SUM(Details[[#This Row],[Actual_Cost]],Details[[#This Row],[Profit]])</f>
        <v>43</v>
      </c>
      <c r="F102">
        <v>1</v>
      </c>
      <c r="G102">
        <f>PRODUCT(Details[[#This Row],[Selling_Cost]],Details[[#This Row],[Quantity]])</f>
        <v>43</v>
      </c>
      <c r="H102" t="s">
        <v>8</v>
      </c>
      <c r="I102" t="s">
        <v>46</v>
      </c>
      <c r="J102" t="s">
        <v>18</v>
      </c>
      <c r="K102" t="s">
        <v>587</v>
      </c>
      <c r="L102" t="s">
        <v>624</v>
      </c>
    </row>
    <row r="103" spans="1:12" x14ac:dyDescent="0.3">
      <c r="A103" t="s">
        <v>121</v>
      </c>
      <c r="B103">
        <v>50</v>
      </c>
      <c r="C103">
        <v>14</v>
      </c>
      <c r="D103">
        <v>50</v>
      </c>
      <c r="E103">
        <f>SUM(Details[[#This Row],[Actual_Cost]],Details[[#This Row],[Profit]])</f>
        <v>64</v>
      </c>
      <c r="F103">
        <v>1</v>
      </c>
      <c r="G103">
        <f>PRODUCT(Details[[#This Row],[Selling_Cost]],Details[[#This Row],[Quantity]])</f>
        <v>64</v>
      </c>
      <c r="H103" t="s">
        <v>13</v>
      </c>
      <c r="I103" t="s">
        <v>34</v>
      </c>
      <c r="J103" t="s">
        <v>10</v>
      </c>
      <c r="K103" t="s">
        <v>632</v>
      </c>
      <c r="L103" t="s">
        <v>546</v>
      </c>
    </row>
    <row r="104" spans="1:12" x14ac:dyDescent="0.3">
      <c r="A104" t="s">
        <v>122</v>
      </c>
      <c r="B104">
        <v>40</v>
      </c>
      <c r="C104">
        <v>15</v>
      </c>
      <c r="D104">
        <v>40</v>
      </c>
      <c r="E104">
        <f>SUM(Details[[#This Row],[Actual_Cost]],Details[[#This Row],[Profit]])</f>
        <v>55</v>
      </c>
      <c r="F104">
        <v>1</v>
      </c>
      <c r="G104">
        <f>PRODUCT(Details[[#This Row],[Selling_Cost]],Details[[#This Row],[Quantity]])</f>
        <v>55</v>
      </c>
      <c r="H104" t="s">
        <v>8</v>
      </c>
      <c r="I104" t="s">
        <v>44</v>
      </c>
      <c r="J104" t="s">
        <v>10</v>
      </c>
      <c r="K104" t="s">
        <v>552</v>
      </c>
      <c r="L104" t="s">
        <v>550</v>
      </c>
    </row>
    <row r="105" spans="1:12" x14ac:dyDescent="0.3">
      <c r="A105" t="s">
        <v>100</v>
      </c>
      <c r="B105">
        <v>42</v>
      </c>
      <c r="C105">
        <v>15</v>
      </c>
      <c r="D105">
        <v>42</v>
      </c>
      <c r="E105">
        <f>SUM(Details[[#This Row],[Actual_Cost]],Details[[#This Row],[Profit]])</f>
        <v>57</v>
      </c>
      <c r="F105">
        <v>1</v>
      </c>
      <c r="G105">
        <f>PRODUCT(Details[[#This Row],[Selling_Cost]],Details[[#This Row],[Quantity]])</f>
        <v>57</v>
      </c>
      <c r="H105" t="s">
        <v>13</v>
      </c>
      <c r="I105" t="s">
        <v>55</v>
      </c>
      <c r="J105" t="s">
        <v>18</v>
      </c>
      <c r="K105" t="s">
        <v>543</v>
      </c>
      <c r="L105" t="s">
        <v>544</v>
      </c>
    </row>
    <row r="106" spans="1:12" x14ac:dyDescent="0.3">
      <c r="A106" t="s">
        <v>123</v>
      </c>
      <c r="B106">
        <v>48</v>
      </c>
      <c r="C106">
        <v>15</v>
      </c>
      <c r="D106">
        <v>48</v>
      </c>
      <c r="E106">
        <f>SUM(Details[[#This Row],[Actual_Cost]],Details[[#This Row],[Profit]])</f>
        <v>63</v>
      </c>
      <c r="F106">
        <v>1</v>
      </c>
      <c r="G106">
        <f>PRODUCT(Details[[#This Row],[Selling_Cost]],Details[[#This Row],[Quantity]])</f>
        <v>63</v>
      </c>
      <c r="H106" t="s">
        <v>8</v>
      </c>
      <c r="I106" t="s">
        <v>48</v>
      </c>
      <c r="J106" t="s">
        <v>10</v>
      </c>
      <c r="K106" t="s">
        <v>548</v>
      </c>
      <c r="L106" t="s">
        <v>544</v>
      </c>
    </row>
    <row r="107" spans="1:12" x14ac:dyDescent="0.3">
      <c r="A107" t="s">
        <v>124</v>
      </c>
      <c r="B107">
        <v>50</v>
      </c>
      <c r="C107">
        <v>16</v>
      </c>
      <c r="D107">
        <v>50</v>
      </c>
      <c r="E107">
        <f>SUM(Details[[#This Row],[Actual_Cost]],Details[[#This Row],[Profit]])</f>
        <v>66</v>
      </c>
      <c r="F107">
        <v>1</v>
      </c>
      <c r="G107">
        <f>PRODUCT(Details[[#This Row],[Selling_Cost]],Details[[#This Row],[Quantity]])</f>
        <v>66</v>
      </c>
      <c r="H107" t="s">
        <v>8</v>
      </c>
      <c r="I107" t="s">
        <v>29</v>
      </c>
      <c r="J107" t="s">
        <v>125</v>
      </c>
      <c r="K107" t="s">
        <v>561</v>
      </c>
      <c r="L107" t="s">
        <v>567</v>
      </c>
    </row>
    <row r="108" spans="1:12" x14ac:dyDescent="0.3">
      <c r="A108" t="s">
        <v>126</v>
      </c>
      <c r="B108">
        <v>43</v>
      </c>
      <c r="C108">
        <v>17</v>
      </c>
      <c r="D108">
        <v>43</v>
      </c>
      <c r="E108">
        <f>SUM(Details[[#This Row],[Actual_Cost]],Details[[#This Row],[Profit]])</f>
        <v>60</v>
      </c>
      <c r="F108">
        <v>1</v>
      </c>
      <c r="G108">
        <f>PRODUCT(Details[[#This Row],[Selling_Cost]],Details[[#This Row],[Quantity]])</f>
        <v>60</v>
      </c>
      <c r="H108" t="s">
        <v>8</v>
      </c>
      <c r="I108" t="s">
        <v>9</v>
      </c>
      <c r="J108" t="s">
        <v>10</v>
      </c>
      <c r="K108" t="s">
        <v>539</v>
      </c>
      <c r="L108" t="s">
        <v>550</v>
      </c>
    </row>
    <row r="109" spans="1:12" x14ac:dyDescent="0.3">
      <c r="A109" t="s">
        <v>127</v>
      </c>
      <c r="B109">
        <v>45</v>
      </c>
      <c r="C109">
        <v>17</v>
      </c>
      <c r="D109">
        <v>45</v>
      </c>
      <c r="E109">
        <f>SUM(Details[[#This Row],[Actual_Cost]],Details[[#This Row],[Profit]])</f>
        <v>62</v>
      </c>
      <c r="F109">
        <v>1</v>
      </c>
      <c r="G109">
        <f>PRODUCT(Details[[#This Row],[Selling_Cost]],Details[[#This Row],[Quantity]])</f>
        <v>62</v>
      </c>
      <c r="H109" t="s">
        <v>13</v>
      </c>
      <c r="I109" t="s">
        <v>55</v>
      </c>
      <c r="J109" t="s">
        <v>10</v>
      </c>
      <c r="K109" t="s">
        <v>578</v>
      </c>
      <c r="L109" t="s">
        <v>541</v>
      </c>
    </row>
    <row r="110" spans="1:12" x14ac:dyDescent="0.3">
      <c r="A110" t="s">
        <v>25</v>
      </c>
      <c r="B110">
        <v>38</v>
      </c>
      <c r="C110">
        <v>18</v>
      </c>
      <c r="D110">
        <v>38</v>
      </c>
      <c r="E110">
        <f>SUM(Details[[#This Row],[Actual_Cost]],Details[[#This Row],[Profit]])</f>
        <v>56</v>
      </c>
      <c r="F110">
        <v>1</v>
      </c>
      <c r="G110">
        <f>PRODUCT(Details[[#This Row],[Selling_Cost]],Details[[#This Row],[Quantity]])</f>
        <v>56</v>
      </c>
      <c r="H110" t="s">
        <v>8</v>
      </c>
      <c r="I110" t="s">
        <v>44</v>
      </c>
      <c r="J110" t="s">
        <v>10</v>
      </c>
      <c r="K110" t="s">
        <v>552</v>
      </c>
      <c r="L110" t="s">
        <v>565</v>
      </c>
    </row>
    <row r="111" spans="1:12" x14ac:dyDescent="0.3">
      <c r="A111" t="s">
        <v>121</v>
      </c>
      <c r="B111">
        <v>40</v>
      </c>
      <c r="C111">
        <v>18</v>
      </c>
      <c r="D111">
        <v>40</v>
      </c>
      <c r="E111">
        <f>SUM(Details[[#This Row],[Actual_Cost]],Details[[#This Row],[Profit]])</f>
        <v>58</v>
      </c>
      <c r="F111">
        <v>1</v>
      </c>
      <c r="G111">
        <f>PRODUCT(Details[[#This Row],[Selling_Cost]],Details[[#This Row],[Quantity]])</f>
        <v>58</v>
      </c>
      <c r="H111" t="s">
        <v>13</v>
      </c>
      <c r="I111" t="s">
        <v>55</v>
      </c>
      <c r="J111" t="s">
        <v>27</v>
      </c>
      <c r="K111" t="s">
        <v>632</v>
      </c>
      <c r="L111" t="s">
        <v>546</v>
      </c>
    </row>
    <row r="112" spans="1:12" x14ac:dyDescent="0.3">
      <c r="A112" t="s">
        <v>128</v>
      </c>
      <c r="B112">
        <v>49</v>
      </c>
      <c r="C112">
        <v>21</v>
      </c>
      <c r="D112">
        <v>49</v>
      </c>
      <c r="E112">
        <f>SUM(Details[[#This Row],[Actual_Cost]],Details[[#This Row],[Profit]])</f>
        <v>70</v>
      </c>
      <c r="F112">
        <v>1</v>
      </c>
      <c r="G112">
        <f>PRODUCT(Details[[#This Row],[Selling_Cost]],Details[[#This Row],[Quantity]])</f>
        <v>70</v>
      </c>
      <c r="H112" t="s">
        <v>8</v>
      </c>
      <c r="I112" t="s">
        <v>29</v>
      </c>
      <c r="J112" t="s">
        <v>18</v>
      </c>
      <c r="K112" t="s">
        <v>592</v>
      </c>
      <c r="L112" t="s">
        <v>544</v>
      </c>
    </row>
    <row r="113" spans="1:12" x14ac:dyDescent="0.3">
      <c r="A113" t="s">
        <v>129</v>
      </c>
      <c r="B113">
        <v>116</v>
      </c>
      <c r="C113">
        <v>22</v>
      </c>
      <c r="D113">
        <v>116</v>
      </c>
      <c r="E113">
        <f>SUM(Details[[#This Row],[Actual_Cost]],Details[[#This Row],[Profit]])</f>
        <v>138</v>
      </c>
      <c r="F113">
        <v>1</v>
      </c>
      <c r="G113">
        <f>PRODUCT(Details[[#This Row],[Selling_Cost]],Details[[#This Row],[Quantity]])</f>
        <v>138</v>
      </c>
      <c r="H113" t="s">
        <v>13</v>
      </c>
      <c r="I113" t="s">
        <v>55</v>
      </c>
      <c r="J113" t="s">
        <v>27</v>
      </c>
      <c r="K113" t="s">
        <v>561</v>
      </c>
      <c r="L113" t="s">
        <v>546</v>
      </c>
    </row>
    <row r="114" spans="1:12" x14ac:dyDescent="0.3">
      <c r="A114" t="s">
        <v>130</v>
      </c>
      <c r="B114">
        <v>53</v>
      </c>
      <c r="C114">
        <v>24</v>
      </c>
      <c r="D114">
        <v>53</v>
      </c>
      <c r="E114">
        <f>SUM(Details[[#This Row],[Actual_Cost]],Details[[#This Row],[Profit]])</f>
        <v>77</v>
      </c>
      <c r="F114">
        <v>1</v>
      </c>
      <c r="G114">
        <f>PRODUCT(Details[[#This Row],[Selling_Cost]],Details[[#This Row],[Quantity]])</f>
        <v>77</v>
      </c>
      <c r="H114" t="s">
        <v>8</v>
      </c>
      <c r="I114" t="s">
        <v>48</v>
      </c>
      <c r="J114" t="s">
        <v>42</v>
      </c>
      <c r="K114" t="s">
        <v>592</v>
      </c>
      <c r="L114" t="s">
        <v>563</v>
      </c>
    </row>
    <row r="115" spans="1:12" x14ac:dyDescent="0.3">
      <c r="A115" t="s">
        <v>131</v>
      </c>
      <c r="B115">
        <v>115</v>
      </c>
      <c r="C115">
        <v>25</v>
      </c>
      <c r="D115">
        <v>115</v>
      </c>
      <c r="E115">
        <f>SUM(Details[[#This Row],[Actual_Cost]],Details[[#This Row],[Profit]])</f>
        <v>140</v>
      </c>
      <c r="F115">
        <v>1</v>
      </c>
      <c r="G115">
        <f>PRODUCT(Details[[#This Row],[Selling_Cost]],Details[[#This Row],[Quantity]])</f>
        <v>140</v>
      </c>
      <c r="H115" t="s">
        <v>13</v>
      </c>
      <c r="I115" t="s">
        <v>55</v>
      </c>
      <c r="J115" t="s">
        <v>10</v>
      </c>
      <c r="K115" t="s">
        <v>596</v>
      </c>
      <c r="L115" t="s">
        <v>624</v>
      </c>
    </row>
    <row r="116" spans="1:12" x14ac:dyDescent="0.3">
      <c r="A116" t="s">
        <v>132</v>
      </c>
      <c r="B116">
        <v>75</v>
      </c>
      <c r="C116">
        <v>29</v>
      </c>
      <c r="D116">
        <v>75</v>
      </c>
      <c r="E116">
        <f>SUM(Details[[#This Row],[Actual_Cost]],Details[[#This Row],[Profit]])</f>
        <v>104</v>
      </c>
      <c r="F116">
        <v>1</v>
      </c>
      <c r="G116">
        <f>PRODUCT(Details[[#This Row],[Selling_Cost]],Details[[#This Row],[Quantity]])</f>
        <v>104</v>
      </c>
      <c r="H116" t="s">
        <v>8</v>
      </c>
      <c r="I116" t="s">
        <v>41</v>
      </c>
      <c r="J116" t="s">
        <v>18</v>
      </c>
      <c r="K116" t="s">
        <v>610</v>
      </c>
      <c r="L116" t="s">
        <v>541</v>
      </c>
    </row>
    <row r="117" spans="1:12" x14ac:dyDescent="0.3">
      <c r="A117" t="s">
        <v>133</v>
      </c>
      <c r="B117">
        <v>143</v>
      </c>
      <c r="C117">
        <v>32</v>
      </c>
      <c r="D117">
        <v>143</v>
      </c>
      <c r="E117">
        <f>SUM(Details[[#This Row],[Actual_Cost]],Details[[#This Row],[Profit]])</f>
        <v>175</v>
      </c>
      <c r="F117">
        <v>1</v>
      </c>
      <c r="G117">
        <f>PRODUCT(Details[[#This Row],[Selling_Cost]],Details[[#This Row],[Quantity]])</f>
        <v>175</v>
      </c>
      <c r="H117" t="s">
        <v>16</v>
      </c>
      <c r="I117" t="s">
        <v>17</v>
      </c>
      <c r="J117" t="s">
        <v>10</v>
      </c>
      <c r="K117" t="s">
        <v>632</v>
      </c>
      <c r="L117" t="s">
        <v>544</v>
      </c>
    </row>
    <row r="118" spans="1:12" x14ac:dyDescent="0.3">
      <c r="A118" t="s">
        <v>134</v>
      </c>
      <c r="B118">
        <v>110</v>
      </c>
      <c r="C118">
        <v>35</v>
      </c>
      <c r="D118">
        <v>110</v>
      </c>
      <c r="E118">
        <f>SUM(Details[[#This Row],[Actual_Cost]],Details[[#This Row],[Profit]])</f>
        <v>145</v>
      </c>
      <c r="F118">
        <v>1</v>
      </c>
      <c r="G118">
        <f>PRODUCT(Details[[#This Row],[Selling_Cost]],Details[[#This Row],[Quantity]])</f>
        <v>145</v>
      </c>
      <c r="H118" t="s">
        <v>16</v>
      </c>
      <c r="I118" t="s">
        <v>32</v>
      </c>
      <c r="J118" t="s">
        <v>10</v>
      </c>
      <c r="K118" t="s">
        <v>552</v>
      </c>
      <c r="L118" t="s">
        <v>583</v>
      </c>
    </row>
    <row r="119" spans="1:12" x14ac:dyDescent="0.3">
      <c r="A119" t="s">
        <v>35</v>
      </c>
      <c r="B119">
        <v>109</v>
      </c>
      <c r="C119">
        <v>40</v>
      </c>
      <c r="D119">
        <v>109</v>
      </c>
      <c r="E119">
        <f>SUM(Details[[#This Row],[Actual_Cost]],Details[[#This Row],[Profit]])</f>
        <v>149</v>
      </c>
      <c r="F119">
        <v>1</v>
      </c>
      <c r="G119">
        <f>PRODUCT(Details[[#This Row],[Selling_Cost]],Details[[#This Row],[Quantity]])</f>
        <v>149</v>
      </c>
      <c r="H119" t="s">
        <v>16</v>
      </c>
      <c r="I119" t="s">
        <v>32</v>
      </c>
      <c r="J119" t="s">
        <v>10</v>
      </c>
      <c r="K119" t="s">
        <v>543</v>
      </c>
      <c r="L119" t="s">
        <v>544</v>
      </c>
    </row>
    <row r="120" spans="1:12" x14ac:dyDescent="0.3">
      <c r="A120" t="s">
        <v>135</v>
      </c>
      <c r="B120">
        <v>311</v>
      </c>
      <c r="C120">
        <v>40</v>
      </c>
      <c r="D120">
        <v>311</v>
      </c>
      <c r="E120">
        <f>SUM(Details[[#This Row],[Actual_Cost]],Details[[#This Row],[Profit]])</f>
        <v>351</v>
      </c>
      <c r="F120">
        <v>1</v>
      </c>
      <c r="G120">
        <f>PRODUCT(Details[[#This Row],[Selling_Cost]],Details[[#This Row],[Quantity]])</f>
        <v>351</v>
      </c>
      <c r="H120" t="s">
        <v>13</v>
      </c>
      <c r="I120" t="s">
        <v>34</v>
      </c>
      <c r="J120" t="s">
        <v>125</v>
      </c>
      <c r="K120" t="s">
        <v>581</v>
      </c>
      <c r="L120" t="s">
        <v>541</v>
      </c>
    </row>
    <row r="121" spans="1:12" x14ac:dyDescent="0.3">
      <c r="A121" t="s">
        <v>136</v>
      </c>
      <c r="B121">
        <v>193</v>
      </c>
      <c r="C121">
        <v>46</v>
      </c>
      <c r="D121">
        <v>193</v>
      </c>
      <c r="E121">
        <f>SUM(Details[[#This Row],[Actual_Cost]],Details[[#This Row],[Profit]])</f>
        <v>239</v>
      </c>
      <c r="F121">
        <v>1</v>
      </c>
      <c r="G121">
        <f>PRODUCT(Details[[#This Row],[Selling_Cost]],Details[[#This Row],[Quantity]])</f>
        <v>239</v>
      </c>
      <c r="H121" t="s">
        <v>13</v>
      </c>
      <c r="I121" t="s">
        <v>20</v>
      </c>
      <c r="J121" t="s">
        <v>27</v>
      </c>
      <c r="K121" t="s">
        <v>548</v>
      </c>
      <c r="L121" t="s">
        <v>565</v>
      </c>
    </row>
    <row r="122" spans="1:12" x14ac:dyDescent="0.3">
      <c r="A122" t="s">
        <v>137</v>
      </c>
      <c r="B122">
        <v>128</v>
      </c>
      <c r="C122">
        <v>55</v>
      </c>
      <c r="D122">
        <v>128</v>
      </c>
      <c r="E122">
        <f>SUM(Details[[#This Row],[Actual_Cost]],Details[[#This Row],[Profit]])</f>
        <v>183</v>
      </c>
      <c r="F122">
        <v>1</v>
      </c>
      <c r="G122">
        <f>PRODUCT(Details[[#This Row],[Selling_Cost]],Details[[#This Row],[Quantity]])</f>
        <v>183</v>
      </c>
      <c r="H122" t="s">
        <v>8</v>
      </c>
      <c r="I122" t="s">
        <v>9</v>
      </c>
      <c r="J122" t="s">
        <v>10</v>
      </c>
      <c r="K122" t="s">
        <v>632</v>
      </c>
      <c r="L122" t="s">
        <v>544</v>
      </c>
    </row>
    <row r="123" spans="1:12" x14ac:dyDescent="0.3">
      <c r="A123" t="s">
        <v>138</v>
      </c>
      <c r="B123">
        <v>312</v>
      </c>
      <c r="C123">
        <v>62</v>
      </c>
      <c r="D123">
        <v>312</v>
      </c>
      <c r="E123">
        <f>SUM(Details[[#This Row],[Actual_Cost]],Details[[#This Row],[Profit]])</f>
        <v>374</v>
      </c>
      <c r="F123">
        <v>1</v>
      </c>
      <c r="G123">
        <f>PRODUCT(Details[[#This Row],[Selling_Cost]],Details[[#This Row],[Quantity]])</f>
        <v>374</v>
      </c>
      <c r="H123" t="s">
        <v>13</v>
      </c>
      <c r="I123" t="s">
        <v>34</v>
      </c>
      <c r="J123" t="s">
        <v>10</v>
      </c>
      <c r="K123" t="s">
        <v>548</v>
      </c>
      <c r="L123" t="s">
        <v>546</v>
      </c>
    </row>
    <row r="124" spans="1:12" x14ac:dyDescent="0.3">
      <c r="A124" t="s">
        <v>114</v>
      </c>
      <c r="B124">
        <v>146</v>
      </c>
      <c r="C124">
        <v>66</v>
      </c>
      <c r="D124">
        <v>146</v>
      </c>
      <c r="E124">
        <f>SUM(Details[[#This Row],[Actual_Cost]],Details[[#This Row],[Profit]])</f>
        <v>212</v>
      </c>
      <c r="F124">
        <v>1</v>
      </c>
      <c r="G124">
        <f>PRODUCT(Details[[#This Row],[Selling_Cost]],Details[[#This Row],[Quantity]])</f>
        <v>212</v>
      </c>
      <c r="H124" t="s">
        <v>13</v>
      </c>
      <c r="I124" t="s">
        <v>14</v>
      </c>
      <c r="J124" t="s">
        <v>18</v>
      </c>
      <c r="K124" t="s">
        <v>569</v>
      </c>
      <c r="L124" t="s">
        <v>546</v>
      </c>
    </row>
    <row r="125" spans="1:12" x14ac:dyDescent="0.3">
      <c r="A125" t="s">
        <v>139</v>
      </c>
      <c r="B125">
        <v>197</v>
      </c>
      <c r="C125">
        <v>73</v>
      </c>
      <c r="D125">
        <v>197</v>
      </c>
      <c r="E125">
        <f>SUM(Details[[#This Row],[Actual_Cost]],Details[[#This Row],[Profit]])</f>
        <v>270</v>
      </c>
      <c r="F125">
        <v>1</v>
      </c>
      <c r="G125">
        <f>PRODUCT(Details[[#This Row],[Selling_Cost]],Details[[#This Row],[Quantity]])</f>
        <v>270</v>
      </c>
      <c r="H125" t="s">
        <v>16</v>
      </c>
      <c r="I125" t="s">
        <v>17</v>
      </c>
      <c r="J125" t="s">
        <v>10</v>
      </c>
      <c r="K125" t="s">
        <v>552</v>
      </c>
      <c r="L125" t="s">
        <v>567</v>
      </c>
    </row>
    <row r="126" spans="1:12" x14ac:dyDescent="0.3">
      <c r="A126" t="s">
        <v>106</v>
      </c>
      <c r="B126">
        <v>179</v>
      </c>
      <c r="C126">
        <v>77</v>
      </c>
      <c r="D126">
        <v>179</v>
      </c>
      <c r="E126">
        <f>SUM(Details[[#This Row],[Actual_Cost]],Details[[#This Row],[Profit]])</f>
        <v>256</v>
      </c>
      <c r="F126">
        <v>1</v>
      </c>
      <c r="G126">
        <f>PRODUCT(Details[[#This Row],[Selling_Cost]],Details[[#This Row],[Quantity]])</f>
        <v>256</v>
      </c>
      <c r="H126" t="s">
        <v>8</v>
      </c>
      <c r="I126" t="s">
        <v>9</v>
      </c>
      <c r="J126" t="s">
        <v>18</v>
      </c>
      <c r="K126" t="s">
        <v>596</v>
      </c>
      <c r="L126" t="s">
        <v>541</v>
      </c>
    </row>
    <row r="127" spans="1:12" x14ac:dyDescent="0.3">
      <c r="A127" t="s">
        <v>100</v>
      </c>
      <c r="B127">
        <v>330</v>
      </c>
      <c r="C127">
        <v>81</v>
      </c>
      <c r="D127">
        <v>330</v>
      </c>
      <c r="E127">
        <f>SUM(Details[[#This Row],[Actual_Cost]],Details[[#This Row],[Profit]])</f>
        <v>411</v>
      </c>
      <c r="F127">
        <v>1</v>
      </c>
      <c r="G127">
        <f>PRODUCT(Details[[#This Row],[Selling_Cost]],Details[[#This Row],[Quantity]])</f>
        <v>411</v>
      </c>
      <c r="H127" t="s">
        <v>16</v>
      </c>
      <c r="I127" t="s">
        <v>17</v>
      </c>
      <c r="J127" t="s">
        <v>27</v>
      </c>
      <c r="K127" t="s">
        <v>543</v>
      </c>
      <c r="L127" t="s">
        <v>544</v>
      </c>
    </row>
    <row r="128" spans="1:12" x14ac:dyDescent="0.3">
      <c r="A128" t="s">
        <v>140</v>
      </c>
      <c r="B128">
        <v>173</v>
      </c>
      <c r="C128">
        <v>86</v>
      </c>
      <c r="D128">
        <v>173</v>
      </c>
      <c r="E128">
        <f>SUM(Details[[#This Row],[Actual_Cost]],Details[[#This Row],[Profit]])</f>
        <v>259</v>
      </c>
      <c r="F128">
        <v>1</v>
      </c>
      <c r="G128">
        <f>PRODUCT(Details[[#This Row],[Selling_Cost]],Details[[#This Row],[Quantity]])</f>
        <v>259</v>
      </c>
      <c r="H128" t="s">
        <v>13</v>
      </c>
      <c r="I128" t="s">
        <v>20</v>
      </c>
      <c r="J128" t="s">
        <v>42</v>
      </c>
      <c r="K128" t="s">
        <v>543</v>
      </c>
      <c r="L128" t="s">
        <v>544</v>
      </c>
    </row>
    <row r="129" spans="1:12" x14ac:dyDescent="0.3">
      <c r="A129" t="s">
        <v>141</v>
      </c>
      <c r="B129">
        <v>269</v>
      </c>
      <c r="C129">
        <v>91</v>
      </c>
      <c r="D129">
        <v>269</v>
      </c>
      <c r="E129">
        <f>SUM(Details[[#This Row],[Actual_Cost]],Details[[#This Row],[Profit]])</f>
        <v>360</v>
      </c>
      <c r="F129">
        <v>1</v>
      </c>
      <c r="G129">
        <f>PRODUCT(Details[[#This Row],[Selling_Cost]],Details[[#This Row],[Quantity]])</f>
        <v>360</v>
      </c>
      <c r="H129" t="s">
        <v>13</v>
      </c>
      <c r="I129" t="s">
        <v>34</v>
      </c>
      <c r="J129" t="s">
        <v>10</v>
      </c>
      <c r="K129" t="s">
        <v>552</v>
      </c>
      <c r="L129" t="s">
        <v>563</v>
      </c>
    </row>
    <row r="130" spans="1:12" x14ac:dyDescent="0.3">
      <c r="A130" t="s">
        <v>141</v>
      </c>
      <c r="B130">
        <v>536</v>
      </c>
      <c r="C130">
        <v>91</v>
      </c>
      <c r="D130">
        <v>536</v>
      </c>
      <c r="E130">
        <f>SUM(Details[[#This Row],[Actual_Cost]],Details[[#This Row],[Profit]])</f>
        <v>627</v>
      </c>
      <c r="F130">
        <v>1</v>
      </c>
      <c r="G130">
        <f>PRODUCT(Details[[#This Row],[Selling_Cost]],Details[[#This Row],[Quantity]])</f>
        <v>627</v>
      </c>
      <c r="H130" t="s">
        <v>8</v>
      </c>
      <c r="I130" t="s">
        <v>41</v>
      </c>
      <c r="J130" t="s">
        <v>10</v>
      </c>
      <c r="K130" t="s">
        <v>552</v>
      </c>
      <c r="L130" t="s">
        <v>563</v>
      </c>
    </row>
    <row r="131" spans="1:12" x14ac:dyDescent="0.3">
      <c r="A131" t="s">
        <v>142</v>
      </c>
      <c r="B131">
        <v>371</v>
      </c>
      <c r="C131">
        <v>115</v>
      </c>
      <c r="D131">
        <v>371</v>
      </c>
      <c r="E131">
        <f>SUM(Details[[#This Row],[Actual_Cost]],Details[[#This Row],[Profit]])</f>
        <v>486</v>
      </c>
      <c r="F131">
        <v>1</v>
      </c>
      <c r="G131">
        <f>PRODUCT(Details[[#This Row],[Selling_Cost]],Details[[#This Row],[Quantity]])</f>
        <v>486</v>
      </c>
      <c r="H131" t="s">
        <v>16</v>
      </c>
      <c r="I131" t="s">
        <v>17</v>
      </c>
      <c r="J131" t="s">
        <v>42</v>
      </c>
      <c r="K131" t="s">
        <v>548</v>
      </c>
      <c r="L131" t="s">
        <v>614</v>
      </c>
    </row>
    <row r="132" spans="1:12" x14ac:dyDescent="0.3">
      <c r="A132" t="s">
        <v>143</v>
      </c>
      <c r="B132">
        <v>362</v>
      </c>
      <c r="C132">
        <v>127</v>
      </c>
      <c r="D132">
        <v>362</v>
      </c>
      <c r="E132">
        <f>SUM(Details[[#This Row],[Actual_Cost]],Details[[#This Row],[Profit]])</f>
        <v>489</v>
      </c>
      <c r="F132">
        <v>1</v>
      </c>
      <c r="G132">
        <f>PRODUCT(Details[[#This Row],[Selling_Cost]],Details[[#This Row],[Quantity]])</f>
        <v>489</v>
      </c>
      <c r="H132" t="s">
        <v>16</v>
      </c>
      <c r="I132" t="s">
        <v>17</v>
      </c>
      <c r="J132" t="s">
        <v>10</v>
      </c>
      <c r="K132" t="s">
        <v>561</v>
      </c>
      <c r="L132" t="s">
        <v>565</v>
      </c>
    </row>
    <row r="133" spans="1:12" x14ac:dyDescent="0.3">
      <c r="A133" t="s">
        <v>124</v>
      </c>
      <c r="B133">
        <v>320</v>
      </c>
      <c r="C133">
        <v>144</v>
      </c>
      <c r="D133">
        <v>320</v>
      </c>
      <c r="E133">
        <f>SUM(Details[[#This Row],[Actual_Cost]],Details[[#This Row],[Profit]])</f>
        <v>464</v>
      </c>
      <c r="F133">
        <v>1</v>
      </c>
      <c r="G133">
        <f>PRODUCT(Details[[#This Row],[Selling_Cost]],Details[[#This Row],[Quantity]])</f>
        <v>464</v>
      </c>
      <c r="H133" t="s">
        <v>13</v>
      </c>
      <c r="I133" t="s">
        <v>20</v>
      </c>
      <c r="J133" t="s">
        <v>42</v>
      </c>
      <c r="K133" t="s">
        <v>561</v>
      </c>
      <c r="L133" t="s">
        <v>567</v>
      </c>
    </row>
    <row r="134" spans="1:12" x14ac:dyDescent="0.3">
      <c r="A134" t="s">
        <v>144</v>
      </c>
      <c r="B134">
        <v>771</v>
      </c>
      <c r="C134">
        <v>-424</v>
      </c>
      <c r="D134">
        <v>1542</v>
      </c>
      <c r="E134">
        <f>SUM(Details[[#This Row],[Actual_Cost]],Details[[#This Row],[Profit]])</f>
        <v>1118</v>
      </c>
      <c r="F134">
        <v>2</v>
      </c>
      <c r="G134">
        <f>PRODUCT(Details[[#This Row],[Selling_Cost]],Details[[#This Row],[Quantity]])</f>
        <v>2236</v>
      </c>
      <c r="H134" t="s">
        <v>13</v>
      </c>
      <c r="I134" t="s">
        <v>14</v>
      </c>
      <c r="J134" t="s">
        <v>27</v>
      </c>
      <c r="K134" t="s">
        <v>548</v>
      </c>
      <c r="L134" t="s">
        <v>614</v>
      </c>
    </row>
    <row r="135" spans="1:12" x14ac:dyDescent="0.3">
      <c r="A135" t="s">
        <v>145</v>
      </c>
      <c r="B135">
        <v>857</v>
      </c>
      <c r="C135">
        <v>-274</v>
      </c>
      <c r="D135">
        <v>1714</v>
      </c>
      <c r="E135">
        <f>SUM(Details[[#This Row],[Actual_Cost]],Details[[#This Row],[Profit]])</f>
        <v>1440</v>
      </c>
      <c r="F135">
        <v>2</v>
      </c>
      <c r="G135">
        <f>PRODUCT(Details[[#This Row],[Selling_Cost]],Details[[#This Row],[Quantity]])</f>
        <v>2880</v>
      </c>
      <c r="H135" t="s">
        <v>16</v>
      </c>
      <c r="I135" t="s">
        <v>146</v>
      </c>
      <c r="J135" t="s">
        <v>10</v>
      </c>
      <c r="K135" t="s">
        <v>607</v>
      </c>
      <c r="L135" t="s">
        <v>550</v>
      </c>
    </row>
    <row r="136" spans="1:12" x14ac:dyDescent="0.3">
      <c r="A136" t="s">
        <v>98</v>
      </c>
      <c r="B136">
        <v>636</v>
      </c>
      <c r="C136">
        <v>-204</v>
      </c>
      <c r="D136">
        <v>1272</v>
      </c>
      <c r="E136">
        <f>SUM(Details[[#This Row],[Actual_Cost]],Details[[#This Row],[Profit]])</f>
        <v>1068</v>
      </c>
      <c r="F136">
        <v>2</v>
      </c>
      <c r="G136">
        <f>PRODUCT(Details[[#This Row],[Selling_Cost]],Details[[#This Row],[Quantity]])</f>
        <v>2136</v>
      </c>
      <c r="H136" t="s">
        <v>13</v>
      </c>
      <c r="I136" t="s">
        <v>20</v>
      </c>
      <c r="J136" t="s">
        <v>42</v>
      </c>
      <c r="K136" t="s">
        <v>607</v>
      </c>
      <c r="L136" t="s">
        <v>550</v>
      </c>
    </row>
    <row r="137" spans="1:12" x14ac:dyDescent="0.3">
      <c r="A137" t="s">
        <v>129</v>
      </c>
      <c r="B137">
        <v>188</v>
      </c>
      <c r="C137">
        <v>-193</v>
      </c>
      <c r="D137">
        <v>376</v>
      </c>
      <c r="E137">
        <f>SUM(Details[[#This Row],[Actual_Cost]],Details[[#This Row],[Profit]])</f>
        <v>183</v>
      </c>
      <c r="F137">
        <v>2</v>
      </c>
      <c r="G137">
        <f>PRODUCT(Details[[#This Row],[Selling_Cost]],Details[[#This Row],[Quantity]])</f>
        <v>366</v>
      </c>
      <c r="H137" t="s">
        <v>13</v>
      </c>
      <c r="I137" t="s">
        <v>34</v>
      </c>
      <c r="J137" t="s">
        <v>27</v>
      </c>
      <c r="K137" t="s">
        <v>561</v>
      </c>
      <c r="L137" t="s">
        <v>546</v>
      </c>
    </row>
    <row r="138" spans="1:12" x14ac:dyDescent="0.3">
      <c r="A138" t="s">
        <v>147</v>
      </c>
      <c r="B138">
        <v>674</v>
      </c>
      <c r="C138">
        <v>-187</v>
      </c>
      <c r="D138">
        <v>1348</v>
      </c>
      <c r="E138">
        <f>SUM(Details[[#This Row],[Actual_Cost]],Details[[#This Row],[Profit]])</f>
        <v>1161</v>
      </c>
      <c r="F138">
        <v>2</v>
      </c>
      <c r="G138">
        <f>PRODUCT(Details[[#This Row],[Selling_Cost]],Details[[#This Row],[Quantity]])</f>
        <v>2322</v>
      </c>
      <c r="H138" t="s">
        <v>16</v>
      </c>
      <c r="I138" t="s">
        <v>146</v>
      </c>
      <c r="J138" t="s">
        <v>10</v>
      </c>
      <c r="K138" t="s">
        <v>607</v>
      </c>
      <c r="L138" t="s">
        <v>585</v>
      </c>
    </row>
    <row r="139" spans="1:12" x14ac:dyDescent="0.3">
      <c r="A139" t="s">
        <v>148</v>
      </c>
      <c r="B139">
        <v>559</v>
      </c>
      <c r="C139">
        <v>-174</v>
      </c>
      <c r="D139">
        <v>1118</v>
      </c>
      <c r="E139">
        <f>SUM(Details[[#This Row],[Actual_Cost]],Details[[#This Row],[Profit]])</f>
        <v>944</v>
      </c>
      <c r="F139">
        <v>2</v>
      </c>
      <c r="G139">
        <f>PRODUCT(Details[[#This Row],[Selling_Cost]],Details[[#This Row],[Quantity]])</f>
        <v>1888</v>
      </c>
      <c r="H139" t="s">
        <v>13</v>
      </c>
      <c r="I139" t="s">
        <v>34</v>
      </c>
      <c r="J139" t="s">
        <v>42</v>
      </c>
      <c r="K139" t="s">
        <v>548</v>
      </c>
      <c r="L139" t="s">
        <v>541</v>
      </c>
    </row>
    <row r="140" spans="1:12" x14ac:dyDescent="0.3">
      <c r="A140" t="s">
        <v>149</v>
      </c>
      <c r="B140">
        <v>765</v>
      </c>
      <c r="C140">
        <v>-153</v>
      </c>
      <c r="D140">
        <v>1530</v>
      </c>
      <c r="E140">
        <f>SUM(Details[[#This Row],[Actual_Cost]],Details[[#This Row],[Profit]])</f>
        <v>1377</v>
      </c>
      <c r="F140">
        <v>2</v>
      </c>
      <c r="G140">
        <f>PRODUCT(Details[[#This Row],[Selling_Cost]],Details[[#This Row],[Quantity]])</f>
        <v>2754</v>
      </c>
      <c r="H140" t="s">
        <v>13</v>
      </c>
      <c r="I140" t="s">
        <v>14</v>
      </c>
      <c r="J140" t="s">
        <v>42</v>
      </c>
      <c r="K140" t="s">
        <v>548</v>
      </c>
      <c r="L140" t="s">
        <v>554</v>
      </c>
    </row>
    <row r="141" spans="1:12" x14ac:dyDescent="0.3">
      <c r="A141" t="s">
        <v>150</v>
      </c>
      <c r="B141">
        <v>171</v>
      </c>
      <c r="C141">
        <v>-140</v>
      </c>
      <c r="D141">
        <v>342</v>
      </c>
      <c r="E141">
        <f>SUM(Details[[#This Row],[Actual_Cost]],Details[[#This Row],[Profit]])</f>
        <v>202</v>
      </c>
      <c r="F141">
        <v>2</v>
      </c>
      <c r="G141">
        <f>PRODUCT(Details[[#This Row],[Selling_Cost]],Details[[#This Row],[Quantity]])</f>
        <v>404</v>
      </c>
      <c r="H141" t="s">
        <v>16</v>
      </c>
      <c r="I141" t="s">
        <v>17</v>
      </c>
      <c r="J141" t="s">
        <v>125</v>
      </c>
      <c r="K141" t="s">
        <v>561</v>
      </c>
      <c r="L141" t="s">
        <v>546</v>
      </c>
    </row>
    <row r="142" spans="1:12" x14ac:dyDescent="0.3">
      <c r="A142" t="s">
        <v>151</v>
      </c>
      <c r="B142">
        <v>143</v>
      </c>
      <c r="C142">
        <v>-129</v>
      </c>
      <c r="D142">
        <v>286</v>
      </c>
      <c r="E142">
        <f>SUM(Details[[#This Row],[Actual_Cost]],Details[[#This Row],[Profit]])</f>
        <v>157</v>
      </c>
      <c r="F142">
        <v>2</v>
      </c>
      <c r="G142">
        <f>PRODUCT(Details[[#This Row],[Selling_Cost]],Details[[#This Row],[Quantity]])</f>
        <v>314</v>
      </c>
      <c r="H142" t="s">
        <v>13</v>
      </c>
      <c r="I142" t="s">
        <v>14</v>
      </c>
      <c r="J142" t="s">
        <v>10</v>
      </c>
      <c r="K142" t="s">
        <v>587</v>
      </c>
      <c r="L142" t="s">
        <v>565</v>
      </c>
    </row>
    <row r="143" spans="1:12" x14ac:dyDescent="0.3">
      <c r="A143" t="s">
        <v>152</v>
      </c>
      <c r="B143">
        <v>168</v>
      </c>
      <c r="C143">
        <v>-111</v>
      </c>
      <c r="D143">
        <v>336</v>
      </c>
      <c r="E143">
        <f>SUM(Details[[#This Row],[Actual_Cost]],Details[[#This Row],[Profit]])</f>
        <v>225</v>
      </c>
      <c r="F143">
        <v>2</v>
      </c>
      <c r="G143">
        <f>PRODUCT(Details[[#This Row],[Selling_Cost]],Details[[#This Row],[Quantity]])</f>
        <v>450</v>
      </c>
      <c r="H143" t="s">
        <v>13</v>
      </c>
      <c r="I143" t="s">
        <v>14</v>
      </c>
      <c r="J143" t="s">
        <v>125</v>
      </c>
      <c r="K143" t="s">
        <v>548</v>
      </c>
      <c r="L143" t="s">
        <v>565</v>
      </c>
    </row>
    <row r="144" spans="1:12" x14ac:dyDescent="0.3">
      <c r="A144" t="s">
        <v>153</v>
      </c>
      <c r="B144">
        <v>557</v>
      </c>
      <c r="C144">
        <v>-111</v>
      </c>
      <c r="D144">
        <v>1114</v>
      </c>
      <c r="E144">
        <f>SUM(Details[[#This Row],[Actual_Cost]],Details[[#This Row],[Profit]])</f>
        <v>1003</v>
      </c>
      <c r="F144">
        <v>2</v>
      </c>
      <c r="G144">
        <f>PRODUCT(Details[[#This Row],[Selling_Cost]],Details[[#This Row],[Quantity]])</f>
        <v>2006</v>
      </c>
      <c r="H144" t="s">
        <v>13</v>
      </c>
      <c r="I144" t="s">
        <v>34</v>
      </c>
      <c r="J144" t="s">
        <v>10</v>
      </c>
      <c r="K144" t="s">
        <v>632</v>
      </c>
      <c r="L144" t="s">
        <v>541</v>
      </c>
    </row>
    <row r="145" spans="1:12" x14ac:dyDescent="0.3">
      <c r="A145" t="s">
        <v>154</v>
      </c>
      <c r="B145">
        <v>211</v>
      </c>
      <c r="C145">
        <v>-105</v>
      </c>
      <c r="D145">
        <v>422</v>
      </c>
      <c r="E145">
        <f>SUM(Details[[#This Row],[Actual_Cost]],Details[[#This Row],[Profit]])</f>
        <v>317</v>
      </c>
      <c r="F145">
        <v>2</v>
      </c>
      <c r="G145">
        <f>PRODUCT(Details[[#This Row],[Selling_Cost]],Details[[#This Row],[Quantity]])</f>
        <v>634</v>
      </c>
      <c r="H145" t="s">
        <v>8</v>
      </c>
      <c r="I145" t="s">
        <v>9</v>
      </c>
      <c r="J145" t="s">
        <v>27</v>
      </c>
      <c r="K145" t="s">
        <v>548</v>
      </c>
      <c r="L145" t="s">
        <v>624</v>
      </c>
    </row>
    <row r="146" spans="1:12" x14ac:dyDescent="0.3">
      <c r="A146" t="s">
        <v>155</v>
      </c>
      <c r="B146">
        <v>148</v>
      </c>
      <c r="C146">
        <v>-101</v>
      </c>
      <c r="D146">
        <v>296</v>
      </c>
      <c r="E146">
        <f>SUM(Details[[#This Row],[Actual_Cost]],Details[[#This Row],[Profit]])</f>
        <v>195</v>
      </c>
      <c r="F146">
        <v>2</v>
      </c>
      <c r="G146">
        <f>PRODUCT(Details[[#This Row],[Selling_Cost]],Details[[#This Row],[Quantity]])</f>
        <v>390</v>
      </c>
      <c r="H146" t="s">
        <v>16</v>
      </c>
      <c r="I146" t="s">
        <v>17</v>
      </c>
      <c r="J146" t="s">
        <v>18</v>
      </c>
      <c r="K146" t="s">
        <v>552</v>
      </c>
      <c r="L146" t="s">
        <v>583</v>
      </c>
    </row>
    <row r="147" spans="1:12" x14ac:dyDescent="0.3">
      <c r="A147" t="s">
        <v>156</v>
      </c>
      <c r="B147">
        <v>207</v>
      </c>
      <c r="C147">
        <v>-100</v>
      </c>
      <c r="D147">
        <v>414</v>
      </c>
      <c r="E147">
        <f>SUM(Details[[#This Row],[Actual_Cost]],Details[[#This Row],[Profit]])</f>
        <v>314</v>
      </c>
      <c r="F147">
        <v>2</v>
      </c>
      <c r="G147">
        <f>PRODUCT(Details[[#This Row],[Selling_Cost]],Details[[#This Row],[Quantity]])</f>
        <v>628</v>
      </c>
      <c r="H147" t="s">
        <v>8</v>
      </c>
      <c r="I147" t="s">
        <v>9</v>
      </c>
      <c r="J147" t="s">
        <v>18</v>
      </c>
      <c r="K147" t="s">
        <v>548</v>
      </c>
      <c r="L147" t="s">
        <v>546</v>
      </c>
    </row>
    <row r="148" spans="1:12" x14ac:dyDescent="0.3">
      <c r="A148" t="s">
        <v>157</v>
      </c>
      <c r="B148">
        <v>148</v>
      </c>
      <c r="C148">
        <v>-91</v>
      </c>
      <c r="D148">
        <v>296</v>
      </c>
      <c r="E148">
        <f>SUM(Details[[#This Row],[Actual_Cost]],Details[[#This Row],[Profit]])</f>
        <v>205</v>
      </c>
      <c r="F148">
        <v>2</v>
      </c>
      <c r="G148">
        <f>PRODUCT(Details[[#This Row],[Selling_Cost]],Details[[#This Row],[Quantity]])</f>
        <v>410</v>
      </c>
      <c r="H148" t="s">
        <v>13</v>
      </c>
      <c r="I148" t="s">
        <v>14</v>
      </c>
      <c r="J148" t="s">
        <v>10</v>
      </c>
      <c r="K148" t="s">
        <v>587</v>
      </c>
      <c r="L148" t="s">
        <v>554</v>
      </c>
    </row>
    <row r="149" spans="1:12" x14ac:dyDescent="0.3">
      <c r="A149" t="s">
        <v>158</v>
      </c>
      <c r="B149">
        <v>89</v>
      </c>
      <c r="C149">
        <v>-89</v>
      </c>
      <c r="D149">
        <v>178</v>
      </c>
      <c r="E149">
        <f>SUM(Details[[#This Row],[Actual_Cost]],Details[[#This Row],[Profit]])</f>
        <v>89</v>
      </c>
      <c r="F149">
        <v>2</v>
      </c>
      <c r="G149">
        <f>PRODUCT(Details[[#This Row],[Selling_Cost]],Details[[#This Row],[Quantity]])</f>
        <v>178</v>
      </c>
      <c r="H149" t="s">
        <v>16</v>
      </c>
      <c r="I149" t="s">
        <v>32</v>
      </c>
      <c r="J149" t="s">
        <v>10</v>
      </c>
      <c r="K149" t="s">
        <v>605</v>
      </c>
      <c r="L149" t="s">
        <v>565</v>
      </c>
    </row>
    <row r="150" spans="1:12" x14ac:dyDescent="0.3">
      <c r="A150" t="s">
        <v>159</v>
      </c>
      <c r="B150">
        <v>269</v>
      </c>
      <c r="C150">
        <v>-86</v>
      </c>
      <c r="D150">
        <v>538</v>
      </c>
      <c r="E150">
        <f>SUM(Details[[#This Row],[Actual_Cost]],Details[[#This Row],[Profit]])</f>
        <v>452</v>
      </c>
      <c r="F150">
        <v>2</v>
      </c>
      <c r="G150">
        <f>PRODUCT(Details[[#This Row],[Selling_Cost]],Details[[#This Row],[Quantity]])</f>
        <v>904</v>
      </c>
      <c r="H150" t="s">
        <v>13</v>
      </c>
      <c r="I150" t="s">
        <v>34</v>
      </c>
      <c r="J150" t="s">
        <v>125</v>
      </c>
      <c r="K150" t="s">
        <v>548</v>
      </c>
      <c r="L150" t="s">
        <v>624</v>
      </c>
    </row>
    <row r="151" spans="1:12" x14ac:dyDescent="0.3">
      <c r="A151" t="s">
        <v>160</v>
      </c>
      <c r="B151">
        <v>496</v>
      </c>
      <c r="C151">
        <v>-79</v>
      </c>
      <c r="D151">
        <v>992</v>
      </c>
      <c r="E151">
        <f>SUM(Details[[#This Row],[Actual_Cost]],Details[[#This Row],[Profit]])</f>
        <v>913</v>
      </c>
      <c r="F151">
        <v>2</v>
      </c>
      <c r="G151">
        <f>PRODUCT(Details[[#This Row],[Selling_Cost]],Details[[#This Row],[Quantity]])</f>
        <v>1826</v>
      </c>
      <c r="H151" t="s">
        <v>8</v>
      </c>
      <c r="I151" t="s">
        <v>41</v>
      </c>
      <c r="J151" t="s">
        <v>10</v>
      </c>
      <c r="K151" t="s">
        <v>711</v>
      </c>
      <c r="L151" t="s">
        <v>565</v>
      </c>
    </row>
    <row r="152" spans="1:12" x14ac:dyDescent="0.3">
      <c r="A152" t="s">
        <v>154</v>
      </c>
      <c r="B152">
        <v>245</v>
      </c>
      <c r="C152">
        <v>-78</v>
      </c>
      <c r="D152">
        <v>490</v>
      </c>
      <c r="E152">
        <f>SUM(Details[[#This Row],[Actual_Cost]],Details[[#This Row],[Profit]])</f>
        <v>412</v>
      </c>
      <c r="F152">
        <v>2</v>
      </c>
      <c r="G152">
        <f>PRODUCT(Details[[#This Row],[Selling_Cost]],Details[[#This Row],[Quantity]])</f>
        <v>824</v>
      </c>
      <c r="H152" t="s">
        <v>13</v>
      </c>
      <c r="I152" t="s">
        <v>20</v>
      </c>
      <c r="J152" t="s">
        <v>18</v>
      </c>
      <c r="K152" t="s">
        <v>548</v>
      </c>
      <c r="L152" t="s">
        <v>624</v>
      </c>
    </row>
    <row r="153" spans="1:12" x14ac:dyDescent="0.3">
      <c r="A153" t="s">
        <v>161</v>
      </c>
      <c r="B153">
        <v>610</v>
      </c>
      <c r="C153">
        <v>-66</v>
      </c>
      <c r="D153">
        <v>1220</v>
      </c>
      <c r="E153">
        <f>SUM(Details[[#This Row],[Actual_Cost]],Details[[#This Row],[Profit]])</f>
        <v>1154</v>
      </c>
      <c r="F153">
        <v>2</v>
      </c>
      <c r="G153">
        <f>PRODUCT(Details[[#This Row],[Selling_Cost]],Details[[#This Row],[Quantity]])</f>
        <v>2308</v>
      </c>
      <c r="H153" t="s">
        <v>16</v>
      </c>
      <c r="I153" t="s">
        <v>146</v>
      </c>
      <c r="J153" t="s">
        <v>10</v>
      </c>
      <c r="K153" t="s">
        <v>711</v>
      </c>
      <c r="L153" t="s">
        <v>624</v>
      </c>
    </row>
    <row r="154" spans="1:12" x14ac:dyDescent="0.3">
      <c r="A154" t="s">
        <v>162</v>
      </c>
      <c r="B154">
        <v>253</v>
      </c>
      <c r="C154">
        <v>-63</v>
      </c>
      <c r="D154">
        <v>506</v>
      </c>
      <c r="E154">
        <f>SUM(Details[[#This Row],[Actual_Cost]],Details[[#This Row],[Profit]])</f>
        <v>443</v>
      </c>
      <c r="F154">
        <v>2</v>
      </c>
      <c r="G154">
        <f>PRODUCT(Details[[#This Row],[Selling_Cost]],Details[[#This Row],[Quantity]])</f>
        <v>886</v>
      </c>
      <c r="H154" t="s">
        <v>8</v>
      </c>
      <c r="I154" t="s">
        <v>9</v>
      </c>
      <c r="J154" t="s">
        <v>18</v>
      </c>
      <c r="K154" t="s">
        <v>592</v>
      </c>
      <c r="L154" t="s">
        <v>583</v>
      </c>
    </row>
    <row r="155" spans="1:12" x14ac:dyDescent="0.3">
      <c r="A155" t="s">
        <v>49</v>
      </c>
      <c r="B155">
        <v>263</v>
      </c>
      <c r="C155">
        <v>-63</v>
      </c>
      <c r="D155">
        <v>526</v>
      </c>
      <c r="E155">
        <f>SUM(Details[[#This Row],[Actual_Cost]],Details[[#This Row],[Profit]])</f>
        <v>463</v>
      </c>
      <c r="F155">
        <v>2</v>
      </c>
      <c r="G155">
        <f>PRODUCT(Details[[#This Row],[Selling_Cost]],Details[[#This Row],[Quantity]])</f>
        <v>926</v>
      </c>
      <c r="H155" t="s">
        <v>13</v>
      </c>
      <c r="I155" t="s">
        <v>34</v>
      </c>
      <c r="J155" t="s">
        <v>42</v>
      </c>
      <c r="K155" t="s">
        <v>641</v>
      </c>
      <c r="L155" t="s">
        <v>565</v>
      </c>
    </row>
    <row r="156" spans="1:12" x14ac:dyDescent="0.3">
      <c r="A156" t="s">
        <v>163</v>
      </c>
      <c r="B156">
        <v>68</v>
      </c>
      <c r="C156">
        <v>-62</v>
      </c>
      <c r="D156">
        <v>136</v>
      </c>
      <c r="E156">
        <f>SUM(Details[[#This Row],[Actual_Cost]],Details[[#This Row],[Profit]])</f>
        <v>74</v>
      </c>
      <c r="F156">
        <v>2</v>
      </c>
      <c r="G156">
        <f>PRODUCT(Details[[#This Row],[Selling_Cost]],Details[[#This Row],[Quantity]])</f>
        <v>148</v>
      </c>
      <c r="H156" t="s">
        <v>8</v>
      </c>
      <c r="I156" t="s">
        <v>41</v>
      </c>
      <c r="J156" t="s">
        <v>42</v>
      </c>
      <c r="K156" t="s">
        <v>607</v>
      </c>
      <c r="L156" t="s">
        <v>565</v>
      </c>
    </row>
    <row r="157" spans="1:12" x14ac:dyDescent="0.3">
      <c r="A157" t="s">
        <v>59</v>
      </c>
      <c r="B157">
        <v>97</v>
      </c>
      <c r="C157">
        <v>-62</v>
      </c>
      <c r="D157">
        <v>194</v>
      </c>
      <c r="E157">
        <f>SUM(Details[[#This Row],[Actual_Cost]],Details[[#This Row],[Profit]])</f>
        <v>132</v>
      </c>
      <c r="F157">
        <v>2</v>
      </c>
      <c r="G157">
        <f>PRODUCT(Details[[#This Row],[Selling_Cost]],Details[[#This Row],[Quantity]])</f>
        <v>264</v>
      </c>
      <c r="H157" t="s">
        <v>8</v>
      </c>
      <c r="I157" t="s">
        <v>41</v>
      </c>
      <c r="J157" t="s">
        <v>10</v>
      </c>
      <c r="K157" t="s">
        <v>552</v>
      </c>
      <c r="L157" t="s">
        <v>624</v>
      </c>
    </row>
    <row r="158" spans="1:12" x14ac:dyDescent="0.3">
      <c r="A158" t="s">
        <v>164</v>
      </c>
      <c r="B158">
        <v>74</v>
      </c>
      <c r="C158">
        <v>-59</v>
      </c>
      <c r="D158">
        <v>148</v>
      </c>
      <c r="E158">
        <f>SUM(Details[[#This Row],[Actual_Cost]],Details[[#This Row],[Profit]])</f>
        <v>89</v>
      </c>
      <c r="F158">
        <v>2</v>
      </c>
      <c r="G158">
        <f>PRODUCT(Details[[#This Row],[Selling_Cost]],Details[[#This Row],[Quantity]])</f>
        <v>178</v>
      </c>
      <c r="H158" t="s">
        <v>13</v>
      </c>
      <c r="I158" t="s">
        <v>55</v>
      </c>
      <c r="J158" t="s">
        <v>42</v>
      </c>
      <c r="K158" t="s">
        <v>632</v>
      </c>
      <c r="L158" t="s">
        <v>554</v>
      </c>
    </row>
    <row r="159" spans="1:12" x14ac:dyDescent="0.3">
      <c r="A159" t="s">
        <v>165</v>
      </c>
      <c r="B159">
        <v>160</v>
      </c>
      <c r="C159">
        <v>-59</v>
      </c>
      <c r="D159">
        <v>320</v>
      </c>
      <c r="E159">
        <f>SUM(Details[[#This Row],[Actual_Cost]],Details[[#This Row],[Profit]])</f>
        <v>261</v>
      </c>
      <c r="F159">
        <v>2</v>
      </c>
      <c r="G159">
        <f>PRODUCT(Details[[#This Row],[Selling_Cost]],Details[[#This Row],[Quantity]])</f>
        <v>522</v>
      </c>
      <c r="H159" t="s">
        <v>8</v>
      </c>
      <c r="I159" t="s">
        <v>9</v>
      </c>
      <c r="J159" t="s">
        <v>125</v>
      </c>
      <c r="K159" t="s">
        <v>592</v>
      </c>
      <c r="L159" t="s">
        <v>565</v>
      </c>
    </row>
    <row r="160" spans="1:12" x14ac:dyDescent="0.3">
      <c r="A160" t="s">
        <v>43</v>
      </c>
      <c r="B160">
        <v>68</v>
      </c>
      <c r="C160">
        <v>-56</v>
      </c>
      <c r="D160">
        <v>136</v>
      </c>
      <c r="E160">
        <f>SUM(Details[[#This Row],[Actual_Cost]],Details[[#This Row],[Profit]])</f>
        <v>80</v>
      </c>
      <c r="F160">
        <v>2</v>
      </c>
      <c r="G160">
        <f>PRODUCT(Details[[#This Row],[Selling_Cost]],Details[[#This Row],[Quantity]])</f>
        <v>160</v>
      </c>
      <c r="H160" t="s">
        <v>13</v>
      </c>
      <c r="I160" t="s">
        <v>14</v>
      </c>
      <c r="J160" t="s">
        <v>10</v>
      </c>
      <c r="K160" t="s">
        <v>548</v>
      </c>
      <c r="L160" t="s">
        <v>554</v>
      </c>
    </row>
    <row r="161" spans="1:12" x14ac:dyDescent="0.3">
      <c r="A161" t="s">
        <v>166</v>
      </c>
      <c r="B161">
        <v>133</v>
      </c>
      <c r="C161">
        <v>-56</v>
      </c>
      <c r="D161">
        <v>266</v>
      </c>
      <c r="E161">
        <f>SUM(Details[[#This Row],[Actual_Cost]],Details[[#This Row],[Profit]])</f>
        <v>210</v>
      </c>
      <c r="F161">
        <v>2</v>
      </c>
      <c r="G161">
        <f>PRODUCT(Details[[#This Row],[Selling_Cost]],Details[[#This Row],[Quantity]])</f>
        <v>420</v>
      </c>
      <c r="H161" t="s">
        <v>16</v>
      </c>
      <c r="I161" t="s">
        <v>23</v>
      </c>
      <c r="J161" t="s">
        <v>10</v>
      </c>
      <c r="K161" t="s">
        <v>605</v>
      </c>
      <c r="L161" t="s">
        <v>554</v>
      </c>
    </row>
    <row r="162" spans="1:12" x14ac:dyDescent="0.3">
      <c r="A162" t="s">
        <v>56</v>
      </c>
      <c r="B162">
        <v>503</v>
      </c>
      <c r="C162">
        <v>-56</v>
      </c>
      <c r="D162">
        <v>1006</v>
      </c>
      <c r="E162">
        <f>SUM(Details[[#This Row],[Actual_Cost]],Details[[#This Row],[Profit]])</f>
        <v>950</v>
      </c>
      <c r="F162">
        <v>2</v>
      </c>
      <c r="G162">
        <f>PRODUCT(Details[[#This Row],[Selling_Cost]],Details[[#This Row],[Quantity]])</f>
        <v>1900</v>
      </c>
      <c r="H162" t="s">
        <v>8</v>
      </c>
      <c r="I162" t="s">
        <v>41</v>
      </c>
      <c r="J162" t="s">
        <v>10</v>
      </c>
      <c r="K162" t="s">
        <v>596</v>
      </c>
      <c r="L162" t="s">
        <v>554</v>
      </c>
    </row>
    <row r="163" spans="1:12" x14ac:dyDescent="0.3">
      <c r="A163" t="s">
        <v>167</v>
      </c>
      <c r="B163">
        <v>259</v>
      </c>
      <c r="C163">
        <v>-55</v>
      </c>
      <c r="D163">
        <v>518</v>
      </c>
      <c r="E163">
        <f>SUM(Details[[#This Row],[Actual_Cost]],Details[[#This Row],[Profit]])</f>
        <v>463</v>
      </c>
      <c r="F163">
        <v>2</v>
      </c>
      <c r="G163">
        <f>PRODUCT(Details[[#This Row],[Selling_Cost]],Details[[#This Row],[Quantity]])</f>
        <v>926</v>
      </c>
      <c r="H163" t="s">
        <v>16</v>
      </c>
      <c r="I163" t="s">
        <v>23</v>
      </c>
      <c r="J163" t="s">
        <v>10</v>
      </c>
      <c r="K163" t="s">
        <v>587</v>
      </c>
      <c r="L163" t="s">
        <v>565</v>
      </c>
    </row>
    <row r="164" spans="1:12" x14ac:dyDescent="0.3">
      <c r="A164" t="s">
        <v>168</v>
      </c>
      <c r="B164">
        <v>168</v>
      </c>
      <c r="C164">
        <v>-51</v>
      </c>
      <c r="D164">
        <v>336</v>
      </c>
      <c r="E164">
        <f>SUM(Details[[#This Row],[Actual_Cost]],Details[[#This Row],[Profit]])</f>
        <v>285</v>
      </c>
      <c r="F164">
        <v>2</v>
      </c>
      <c r="G164">
        <f>PRODUCT(Details[[#This Row],[Selling_Cost]],Details[[#This Row],[Quantity]])</f>
        <v>570</v>
      </c>
      <c r="H164" t="s">
        <v>16</v>
      </c>
      <c r="I164" t="s">
        <v>17</v>
      </c>
      <c r="J164" t="s">
        <v>10</v>
      </c>
      <c r="K164" t="s">
        <v>552</v>
      </c>
      <c r="L164" t="s">
        <v>614</v>
      </c>
    </row>
    <row r="165" spans="1:12" x14ac:dyDescent="0.3">
      <c r="A165" t="s">
        <v>35</v>
      </c>
      <c r="B165">
        <v>51</v>
      </c>
      <c r="C165">
        <v>-49</v>
      </c>
      <c r="D165">
        <v>102</v>
      </c>
      <c r="E165">
        <f>SUM(Details[[#This Row],[Actual_Cost]],Details[[#This Row],[Profit]])</f>
        <v>53</v>
      </c>
      <c r="F165">
        <v>2</v>
      </c>
      <c r="G165">
        <f>PRODUCT(Details[[#This Row],[Selling_Cost]],Details[[#This Row],[Quantity]])</f>
        <v>106</v>
      </c>
      <c r="H165" t="s">
        <v>13</v>
      </c>
      <c r="I165" t="s">
        <v>34</v>
      </c>
      <c r="J165" t="s">
        <v>10</v>
      </c>
      <c r="K165" t="s">
        <v>543</v>
      </c>
      <c r="L165" t="s">
        <v>544</v>
      </c>
    </row>
    <row r="166" spans="1:12" x14ac:dyDescent="0.3">
      <c r="A166" t="s">
        <v>169</v>
      </c>
      <c r="B166">
        <v>98</v>
      </c>
      <c r="C166">
        <v>-45</v>
      </c>
      <c r="D166">
        <v>196</v>
      </c>
      <c r="E166">
        <f>SUM(Details[[#This Row],[Actual_Cost]],Details[[#This Row],[Profit]])</f>
        <v>151</v>
      </c>
      <c r="F166">
        <v>2</v>
      </c>
      <c r="G166">
        <f>PRODUCT(Details[[#This Row],[Selling_Cost]],Details[[#This Row],[Quantity]])</f>
        <v>302</v>
      </c>
      <c r="H166" t="s">
        <v>16</v>
      </c>
      <c r="I166" t="s">
        <v>23</v>
      </c>
      <c r="J166" t="s">
        <v>18</v>
      </c>
      <c r="K166" t="s">
        <v>552</v>
      </c>
      <c r="L166" t="s">
        <v>585</v>
      </c>
    </row>
    <row r="167" spans="1:12" x14ac:dyDescent="0.3">
      <c r="A167" t="s">
        <v>170</v>
      </c>
      <c r="B167">
        <v>643</v>
      </c>
      <c r="C167">
        <v>-45</v>
      </c>
      <c r="D167">
        <v>1286</v>
      </c>
      <c r="E167">
        <f>SUM(Details[[#This Row],[Actual_Cost]],Details[[#This Row],[Profit]])</f>
        <v>1241</v>
      </c>
      <c r="F167">
        <v>2</v>
      </c>
      <c r="G167">
        <f>PRODUCT(Details[[#This Row],[Selling_Cost]],Details[[#This Row],[Quantity]])</f>
        <v>2482</v>
      </c>
      <c r="H167" t="s">
        <v>13</v>
      </c>
      <c r="I167" t="s">
        <v>20</v>
      </c>
      <c r="J167" t="s">
        <v>42</v>
      </c>
      <c r="K167" t="s">
        <v>548</v>
      </c>
      <c r="L167" t="s">
        <v>554</v>
      </c>
    </row>
    <row r="168" spans="1:12" x14ac:dyDescent="0.3">
      <c r="A168" t="s">
        <v>49</v>
      </c>
      <c r="B168">
        <v>50</v>
      </c>
      <c r="C168">
        <v>-44</v>
      </c>
      <c r="D168">
        <v>100</v>
      </c>
      <c r="E168">
        <f>SUM(Details[[#This Row],[Actual_Cost]],Details[[#This Row],[Profit]])</f>
        <v>56</v>
      </c>
      <c r="F168">
        <v>2</v>
      </c>
      <c r="G168">
        <f>PRODUCT(Details[[#This Row],[Selling_Cost]],Details[[#This Row],[Quantity]])</f>
        <v>112</v>
      </c>
      <c r="H168" t="s">
        <v>8</v>
      </c>
      <c r="I168" t="s">
        <v>48</v>
      </c>
      <c r="J168" t="s">
        <v>18</v>
      </c>
      <c r="K168" t="s">
        <v>641</v>
      </c>
      <c r="L168" t="s">
        <v>565</v>
      </c>
    </row>
    <row r="169" spans="1:12" x14ac:dyDescent="0.3">
      <c r="A169" t="s">
        <v>171</v>
      </c>
      <c r="B169">
        <v>58</v>
      </c>
      <c r="C169">
        <v>-42</v>
      </c>
      <c r="D169">
        <v>116</v>
      </c>
      <c r="E169">
        <f>SUM(Details[[#This Row],[Actual_Cost]],Details[[#This Row],[Profit]])</f>
        <v>74</v>
      </c>
      <c r="F169">
        <v>2</v>
      </c>
      <c r="G169">
        <f>PRODUCT(Details[[#This Row],[Selling_Cost]],Details[[#This Row],[Quantity]])</f>
        <v>148</v>
      </c>
      <c r="H169" t="s">
        <v>16</v>
      </c>
      <c r="I169" t="s">
        <v>23</v>
      </c>
      <c r="J169" t="s">
        <v>42</v>
      </c>
      <c r="K169" t="s">
        <v>641</v>
      </c>
      <c r="L169" t="s">
        <v>624</v>
      </c>
    </row>
    <row r="170" spans="1:12" x14ac:dyDescent="0.3">
      <c r="A170" t="s">
        <v>172</v>
      </c>
      <c r="B170">
        <v>84</v>
      </c>
      <c r="C170">
        <v>-42</v>
      </c>
      <c r="D170">
        <v>168</v>
      </c>
      <c r="E170">
        <f>SUM(Details[[#This Row],[Actual_Cost]],Details[[#This Row],[Profit]])</f>
        <v>126</v>
      </c>
      <c r="F170">
        <v>2</v>
      </c>
      <c r="G170">
        <f>PRODUCT(Details[[#This Row],[Selling_Cost]],Details[[#This Row],[Quantity]])</f>
        <v>252</v>
      </c>
      <c r="H170" t="s">
        <v>13</v>
      </c>
      <c r="I170" t="s">
        <v>55</v>
      </c>
      <c r="J170" t="s">
        <v>10</v>
      </c>
      <c r="K170" t="s">
        <v>587</v>
      </c>
      <c r="L170" t="s">
        <v>550</v>
      </c>
    </row>
    <row r="171" spans="1:12" x14ac:dyDescent="0.3">
      <c r="A171" t="s">
        <v>173</v>
      </c>
      <c r="B171">
        <v>149</v>
      </c>
      <c r="C171">
        <v>-40</v>
      </c>
      <c r="D171">
        <v>298</v>
      </c>
      <c r="E171">
        <f>SUM(Details[[#This Row],[Actual_Cost]],Details[[#This Row],[Profit]])</f>
        <v>258</v>
      </c>
      <c r="F171">
        <v>2</v>
      </c>
      <c r="G171">
        <f>PRODUCT(Details[[#This Row],[Selling_Cost]],Details[[#This Row],[Quantity]])</f>
        <v>516</v>
      </c>
      <c r="H171" t="s">
        <v>13</v>
      </c>
      <c r="I171" t="s">
        <v>14</v>
      </c>
      <c r="J171" t="s">
        <v>10</v>
      </c>
      <c r="K171" t="s">
        <v>605</v>
      </c>
      <c r="L171" t="s">
        <v>614</v>
      </c>
    </row>
    <row r="172" spans="1:12" x14ac:dyDescent="0.3">
      <c r="A172" t="s">
        <v>174</v>
      </c>
      <c r="B172">
        <v>659</v>
      </c>
      <c r="C172">
        <v>-37</v>
      </c>
      <c r="D172">
        <v>1318</v>
      </c>
      <c r="E172">
        <f>SUM(Details[[#This Row],[Actual_Cost]],Details[[#This Row],[Profit]])</f>
        <v>1281</v>
      </c>
      <c r="F172">
        <v>2</v>
      </c>
      <c r="G172">
        <f>PRODUCT(Details[[#This Row],[Selling_Cost]],Details[[#This Row],[Quantity]])</f>
        <v>2562</v>
      </c>
      <c r="H172" t="s">
        <v>16</v>
      </c>
      <c r="I172" t="s">
        <v>17</v>
      </c>
      <c r="J172" t="s">
        <v>27</v>
      </c>
      <c r="K172" t="s">
        <v>592</v>
      </c>
      <c r="L172" t="s">
        <v>541</v>
      </c>
    </row>
    <row r="173" spans="1:12" x14ac:dyDescent="0.3">
      <c r="A173" t="s">
        <v>85</v>
      </c>
      <c r="B173">
        <v>656</v>
      </c>
      <c r="C173">
        <v>-36</v>
      </c>
      <c r="D173">
        <v>1312</v>
      </c>
      <c r="E173">
        <f>SUM(Details[[#This Row],[Actual_Cost]],Details[[#This Row],[Profit]])</f>
        <v>1276</v>
      </c>
      <c r="F173">
        <v>2</v>
      </c>
      <c r="G173">
        <f>PRODUCT(Details[[#This Row],[Selling_Cost]],Details[[#This Row],[Quantity]])</f>
        <v>2552</v>
      </c>
      <c r="H173" t="s">
        <v>16</v>
      </c>
      <c r="I173" t="s">
        <v>17</v>
      </c>
      <c r="J173" t="s">
        <v>27</v>
      </c>
      <c r="K173" t="s">
        <v>661</v>
      </c>
      <c r="L173" t="s">
        <v>624</v>
      </c>
    </row>
    <row r="174" spans="1:12" x14ac:dyDescent="0.3">
      <c r="A174" t="s">
        <v>175</v>
      </c>
      <c r="B174">
        <v>134</v>
      </c>
      <c r="C174">
        <v>-34</v>
      </c>
      <c r="D174">
        <v>268</v>
      </c>
      <c r="E174">
        <f>SUM(Details[[#This Row],[Actual_Cost]],Details[[#This Row],[Profit]])</f>
        <v>234</v>
      </c>
      <c r="F174">
        <v>2</v>
      </c>
      <c r="G174">
        <f>PRODUCT(Details[[#This Row],[Selling_Cost]],Details[[#This Row],[Quantity]])</f>
        <v>468</v>
      </c>
      <c r="H174" t="s">
        <v>16</v>
      </c>
      <c r="I174" t="s">
        <v>23</v>
      </c>
      <c r="J174" t="s">
        <v>10</v>
      </c>
      <c r="K174" t="s">
        <v>592</v>
      </c>
      <c r="L174" t="s">
        <v>554</v>
      </c>
    </row>
    <row r="175" spans="1:12" x14ac:dyDescent="0.3">
      <c r="A175" t="s">
        <v>171</v>
      </c>
      <c r="B175">
        <v>55</v>
      </c>
      <c r="C175">
        <v>-33</v>
      </c>
      <c r="D175">
        <v>110</v>
      </c>
      <c r="E175">
        <f>SUM(Details[[#This Row],[Actual_Cost]],Details[[#This Row],[Profit]])</f>
        <v>77</v>
      </c>
      <c r="F175">
        <v>2</v>
      </c>
      <c r="G175">
        <f>PRODUCT(Details[[#This Row],[Selling_Cost]],Details[[#This Row],[Quantity]])</f>
        <v>154</v>
      </c>
      <c r="H175" t="s">
        <v>16</v>
      </c>
      <c r="I175" t="s">
        <v>23</v>
      </c>
      <c r="J175" t="s">
        <v>42</v>
      </c>
      <c r="K175" t="s">
        <v>641</v>
      </c>
      <c r="L175" t="s">
        <v>624</v>
      </c>
    </row>
    <row r="176" spans="1:12" x14ac:dyDescent="0.3">
      <c r="A176" t="s">
        <v>176</v>
      </c>
      <c r="B176">
        <v>55</v>
      </c>
      <c r="C176">
        <v>-33</v>
      </c>
      <c r="D176">
        <v>110</v>
      </c>
      <c r="E176">
        <f>SUM(Details[[#This Row],[Actual_Cost]],Details[[#This Row],[Profit]])</f>
        <v>77</v>
      </c>
      <c r="F176">
        <v>2</v>
      </c>
      <c r="G176">
        <f>PRODUCT(Details[[#This Row],[Selling_Cost]],Details[[#This Row],[Quantity]])</f>
        <v>154</v>
      </c>
      <c r="H176" t="s">
        <v>16</v>
      </c>
      <c r="I176" t="s">
        <v>23</v>
      </c>
      <c r="J176" t="s">
        <v>10</v>
      </c>
      <c r="K176" t="s">
        <v>539</v>
      </c>
      <c r="L176" t="s">
        <v>614</v>
      </c>
    </row>
    <row r="177" spans="1:12" x14ac:dyDescent="0.3">
      <c r="A177" t="s">
        <v>31</v>
      </c>
      <c r="B177">
        <v>49</v>
      </c>
      <c r="C177">
        <v>-31</v>
      </c>
      <c r="D177">
        <v>98</v>
      </c>
      <c r="E177">
        <f>SUM(Details[[#This Row],[Actual_Cost]],Details[[#This Row],[Profit]])</f>
        <v>67</v>
      </c>
      <c r="F177">
        <v>2</v>
      </c>
      <c r="G177">
        <f>PRODUCT(Details[[#This Row],[Selling_Cost]],Details[[#This Row],[Quantity]])</f>
        <v>134</v>
      </c>
      <c r="H177" t="s">
        <v>8</v>
      </c>
      <c r="I177" t="s">
        <v>29</v>
      </c>
      <c r="J177" t="s">
        <v>18</v>
      </c>
      <c r="K177" t="s">
        <v>539</v>
      </c>
      <c r="L177" t="s">
        <v>585</v>
      </c>
    </row>
    <row r="178" spans="1:12" x14ac:dyDescent="0.3">
      <c r="A178" t="s">
        <v>67</v>
      </c>
      <c r="B178">
        <v>49</v>
      </c>
      <c r="C178">
        <v>-31</v>
      </c>
      <c r="D178">
        <v>98</v>
      </c>
      <c r="E178">
        <f>SUM(Details[[#This Row],[Actual_Cost]],Details[[#This Row],[Profit]])</f>
        <v>67</v>
      </c>
      <c r="F178">
        <v>2</v>
      </c>
      <c r="G178">
        <f>PRODUCT(Details[[#This Row],[Selling_Cost]],Details[[#This Row],[Quantity]])</f>
        <v>134</v>
      </c>
      <c r="H178" t="s">
        <v>8</v>
      </c>
      <c r="I178" t="s">
        <v>29</v>
      </c>
      <c r="J178" t="s">
        <v>10</v>
      </c>
      <c r="K178" t="s">
        <v>552</v>
      </c>
      <c r="L178" t="s">
        <v>563</v>
      </c>
    </row>
    <row r="179" spans="1:12" x14ac:dyDescent="0.3">
      <c r="A179" t="s">
        <v>35</v>
      </c>
      <c r="B179">
        <v>215</v>
      </c>
      <c r="C179">
        <v>-30</v>
      </c>
      <c r="D179">
        <v>430</v>
      </c>
      <c r="E179">
        <f>SUM(Details[[#This Row],[Actual_Cost]],Details[[#This Row],[Profit]])</f>
        <v>400</v>
      </c>
      <c r="F179">
        <v>2</v>
      </c>
      <c r="G179">
        <f>PRODUCT(Details[[#This Row],[Selling_Cost]],Details[[#This Row],[Quantity]])</f>
        <v>800</v>
      </c>
      <c r="H179" t="s">
        <v>8</v>
      </c>
      <c r="I179" t="s">
        <v>9</v>
      </c>
      <c r="J179" t="s">
        <v>10</v>
      </c>
      <c r="K179" t="s">
        <v>543</v>
      </c>
      <c r="L179" t="s">
        <v>544</v>
      </c>
    </row>
    <row r="180" spans="1:12" x14ac:dyDescent="0.3">
      <c r="A180" t="s">
        <v>177</v>
      </c>
      <c r="B180">
        <v>45</v>
      </c>
      <c r="C180">
        <v>-28</v>
      </c>
      <c r="D180">
        <v>90</v>
      </c>
      <c r="E180">
        <f>SUM(Details[[#This Row],[Actual_Cost]],Details[[#This Row],[Profit]])</f>
        <v>62</v>
      </c>
      <c r="F180">
        <v>2</v>
      </c>
      <c r="G180">
        <f>PRODUCT(Details[[#This Row],[Selling_Cost]],Details[[#This Row],[Quantity]])</f>
        <v>124</v>
      </c>
      <c r="H180" t="s">
        <v>8</v>
      </c>
      <c r="I180" t="s">
        <v>29</v>
      </c>
      <c r="J180" t="s">
        <v>42</v>
      </c>
      <c r="K180" t="s">
        <v>569</v>
      </c>
      <c r="L180" t="s">
        <v>583</v>
      </c>
    </row>
    <row r="181" spans="1:12" x14ac:dyDescent="0.3">
      <c r="A181" t="s">
        <v>178</v>
      </c>
      <c r="B181">
        <v>57</v>
      </c>
      <c r="C181">
        <v>-28</v>
      </c>
      <c r="D181">
        <v>114</v>
      </c>
      <c r="E181">
        <f>SUM(Details[[#This Row],[Actual_Cost]],Details[[#This Row],[Profit]])</f>
        <v>86</v>
      </c>
      <c r="F181">
        <v>2</v>
      </c>
      <c r="G181">
        <f>PRODUCT(Details[[#This Row],[Selling_Cost]],Details[[#This Row],[Quantity]])</f>
        <v>172</v>
      </c>
      <c r="H181" t="s">
        <v>8</v>
      </c>
      <c r="I181" t="s">
        <v>44</v>
      </c>
      <c r="J181" t="s">
        <v>10</v>
      </c>
      <c r="K181" t="s">
        <v>552</v>
      </c>
      <c r="L181" t="s">
        <v>567</v>
      </c>
    </row>
    <row r="182" spans="1:12" x14ac:dyDescent="0.3">
      <c r="A182" t="s">
        <v>15</v>
      </c>
      <c r="B182">
        <v>258</v>
      </c>
      <c r="C182">
        <v>-27</v>
      </c>
      <c r="D182">
        <v>516</v>
      </c>
      <c r="E182">
        <f>SUM(Details[[#This Row],[Actual_Cost]],Details[[#This Row],[Profit]])</f>
        <v>489</v>
      </c>
      <c r="F182">
        <v>2</v>
      </c>
      <c r="G182">
        <f>PRODUCT(Details[[#This Row],[Selling_Cost]],Details[[#This Row],[Quantity]])</f>
        <v>978</v>
      </c>
      <c r="H182" t="s">
        <v>13</v>
      </c>
      <c r="I182" t="s">
        <v>14</v>
      </c>
      <c r="J182" t="s">
        <v>42</v>
      </c>
      <c r="K182" t="s">
        <v>578</v>
      </c>
      <c r="L182" t="s">
        <v>624</v>
      </c>
    </row>
    <row r="183" spans="1:12" x14ac:dyDescent="0.3">
      <c r="A183" t="s">
        <v>154</v>
      </c>
      <c r="B183">
        <v>28</v>
      </c>
      <c r="C183">
        <v>-26</v>
      </c>
      <c r="D183">
        <v>56</v>
      </c>
      <c r="E183">
        <f>SUM(Details[[#This Row],[Actual_Cost]],Details[[#This Row],[Profit]])</f>
        <v>30</v>
      </c>
      <c r="F183">
        <v>2</v>
      </c>
      <c r="G183">
        <f>PRODUCT(Details[[#This Row],[Selling_Cost]],Details[[#This Row],[Quantity]])</f>
        <v>60</v>
      </c>
      <c r="H183" t="s">
        <v>8</v>
      </c>
      <c r="I183" t="s">
        <v>29</v>
      </c>
      <c r="J183" t="s">
        <v>18</v>
      </c>
      <c r="K183" t="s">
        <v>548</v>
      </c>
      <c r="L183" t="s">
        <v>624</v>
      </c>
    </row>
    <row r="184" spans="1:12" x14ac:dyDescent="0.3">
      <c r="A184" t="s">
        <v>151</v>
      </c>
      <c r="B184">
        <v>42</v>
      </c>
      <c r="C184">
        <v>-26</v>
      </c>
      <c r="D184">
        <v>84</v>
      </c>
      <c r="E184">
        <f>SUM(Details[[#This Row],[Actual_Cost]],Details[[#This Row],[Profit]])</f>
        <v>58</v>
      </c>
      <c r="F184">
        <v>2</v>
      </c>
      <c r="G184">
        <f>PRODUCT(Details[[#This Row],[Selling_Cost]],Details[[#This Row],[Quantity]])</f>
        <v>116</v>
      </c>
      <c r="H184" t="s">
        <v>8</v>
      </c>
      <c r="I184" t="s">
        <v>44</v>
      </c>
      <c r="J184" t="s">
        <v>10</v>
      </c>
      <c r="K184" t="s">
        <v>587</v>
      </c>
      <c r="L184" t="s">
        <v>565</v>
      </c>
    </row>
    <row r="185" spans="1:12" x14ac:dyDescent="0.3">
      <c r="A185" t="s">
        <v>179</v>
      </c>
      <c r="B185">
        <v>27</v>
      </c>
      <c r="C185">
        <v>-25</v>
      </c>
      <c r="D185">
        <v>54</v>
      </c>
      <c r="E185">
        <f>SUM(Details[[#This Row],[Actual_Cost]],Details[[#This Row],[Profit]])</f>
        <v>29</v>
      </c>
      <c r="F185">
        <v>2</v>
      </c>
      <c r="G185">
        <f>PRODUCT(Details[[#This Row],[Selling_Cost]],Details[[#This Row],[Quantity]])</f>
        <v>58</v>
      </c>
      <c r="H185" t="s">
        <v>8</v>
      </c>
      <c r="I185" t="s">
        <v>29</v>
      </c>
      <c r="J185" t="s">
        <v>10</v>
      </c>
      <c r="K185" t="s">
        <v>605</v>
      </c>
      <c r="L185" t="s">
        <v>624</v>
      </c>
    </row>
    <row r="186" spans="1:12" x14ac:dyDescent="0.3">
      <c r="A186" t="s">
        <v>21</v>
      </c>
      <c r="B186">
        <v>27</v>
      </c>
      <c r="C186">
        <v>-25</v>
      </c>
      <c r="D186">
        <v>54</v>
      </c>
      <c r="E186">
        <f>SUM(Details[[#This Row],[Actual_Cost]],Details[[#This Row],[Profit]])</f>
        <v>29</v>
      </c>
      <c r="F186">
        <v>2</v>
      </c>
      <c r="G186">
        <f>PRODUCT(Details[[#This Row],[Selling_Cost]],Details[[#This Row],[Quantity]])</f>
        <v>58</v>
      </c>
      <c r="H186" t="s">
        <v>8</v>
      </c>
      <c r="I186" t="s">
        <v>61</v>
      </c>
      <c r="J186" t="s">
        <v>42</v>
      </c>
      <c r="K186" t="s">
        <v>610</v>
      </c>
      <c r="L186" t="s">
        <v>585</v>
      </c>
    </row>
    <row r="187" spans="1:12" x14ac:dyDescent="0.3">
      <c r="A187" t="s">
        <v>177</v>
      </c>
      <c r="B187">
        <v>30</v>
      </c>
      <c r="C187">
        <v>-25</v>
      </c>
      <c r="D187">
        <v>60</v>
      </c>
      <c r="E187">
        <f>SUM(Details[[#This Row],[Actual_Cost]],Details[[#This Row],[Profit]])</f>
        <v>35</v>
      </c>
      <c r="F187">
        <v>2</v>
      </c>
      <c r="G187">
        <f>PRODUCT(Details[[#This Row],[Selling_Cost]],Details[[#This Row],[Quantity]])</f>
        <v>70</v>
      </c>
      <c r="H187" t="s">
        <v>8</v>
      </c>
      <c r="I187" t="s">
        <v>46</v>
      </c>
      <c r="J187" t="s">
        <v>10</v>
      </c>
      <c r="K187" t="s">
        <v>569</v>
      </c>
      <c r="L187" t="s">
        <v>583</v>
      </c>
    </row>
    <row r="188" spans="1:12" x14ac:dyDescent="0.3">
      <c r="A188" t="s">
        <v>24</v>
      </c>
      <c r="B188">
        <v>208</v>
      </c>
      <c r="C188">
        <v>-25</v>
      </c>
      <c r="D188">
        <v>416</v>
      </c>
      <c r="E188">
        <f>SUM(Details[[#This Row],[Actual_Cost]],Details[[#This Row],[Profit]])</f>
        <v>391</v>
      </c>
      <c r="F188">
        <v>2</v>
      </c>
      <c r="G188">
        <f>PRODUCT(Details[[#This Row],[Selling_Cost]],Details[[#This Row],[Quantity]])</f>
        <v>782</v>
      </c>
      <c r="H188" t="s">
        <v>8</v>
      </c>
      <c r="I188" t="s">
        <v>9</v>
      </c>
      <c r="J188" t="s">
        <v>10</v>
      </c>
      <c r="K188" t="s">
        <v>552</v>
      </c>
      <c r="L188" t="s">
        <v>554</v>
      </c>
    </row>
    <row r="189" spans="1:12" x14ac:dyDescent="0.3">
      <c r="A189" t="s">
        <v>114</v>
      </c>
      <c r="B189">
        <v>524</v>
      </c>
      <c r="C189">
        <v>-25</v>
      </c>
      <c r="D189">
        <v>1048</v>
      </c>
      <c r="E189">
        <f>SUM(Details[[#This Row],[Actual_Cost]],Details[[#This Row],[Profit]])</f>
        <v>1023</v>
      </c>
      <c r="F189">
        <v>2</v>
      </c>
      <c r="G189">
        <f>PRODUCT(Details[[#This Row],[Selling_Cost]],Details[[#This Row],[Quantity]])</f>
        <v>2046</v>
      </c>
      <c r="H189" t="s">
        <v>13</v>
      </c>
      <c r="I189" t="s">
        <v>34</v>
      </c>
      <c r="J189" t="s">
        <v>42</v>
      </c>
      <c r="K189" t="s">
        <v>569</v>
      </c>
      <c r="L189" t="s">
        <v>546</v>
      </c>
    </row>
    <row r="190" spans="1:12" x14ac:dyDescent="0.3">
      <c r="A190" t="s">
        <v>24</v>
      </c>
      <c r="B190">
        <v>212</v>
      </c>
      <c r="C190">
        <v>-24</v>
      </c>
      <c r="D190">
        <v>424</v>
      </c>
      <c r="E190">
        <f>SUM(Details[[#This Row],[Actual_Cost]],Details[[#This Row],[Profit]])</f>
        <v>400</v>
      </c>
      <c r="F190">
        <v>2</v>
      </c>
      <c r="G190">
        <f>PRODUCT(Details[[#This Row],[Selling_Cost]],Details[[#This Row],[Quantity]])</f>
        <v>800</v>
      </c>
      <c r="H190" t="s">
        <v>16</v>
      </c>
      <c r="I190" t="s">
        <v>23</v>
      </c>
      <c r="J190" t="s">
        <v>10</v>
      </c>
      <c r="K190" t="s">
        <v>552</v>
      </c>
      <c r="L190" t="s">
        <v>554</v>
      </c>
    </row>
    <row r="191" spans="1:12" x14ac:dyDescent="0.3">
      <c r="A191" t="s">
        <v>149</v>
      </c>
      <c r="B191">
        <v>349</v>
      </c>
      <c r="C191">
        <v>-24</v>
      </c>
      <c r="D191">
        <v>698</v>
      </c>
      <c r="E191">
        <f>SUM(Details[[#This Row],[Actual_Cost]],Details[[#This Row],[Profit]])</f>
        <v>674</v>
      </c>
      <c r="F191">
        <v>2</v>
      </c>
      <c r="G191">
        <f>PRODUCT(Details[[#This Row],[Selling_Cost]],Details[[#This Row],[Quantity]])</f>
        <v>1348</v>
      </c>
      <c r="H191" t="s">
        <v>8</v>
      </c>
      <c r="I191" t="s">
        <v>9</v>
      </c>
      <c r="J191" t="s">
        <v>42</v>
      </c>
      <c r="K191" t="s">
        <v>548</v>
      </c>
      <c r="L191" t="s">
        <v>554</v>
      </c>
    </row>
    <row r="192" spans="1:12" x14ac:dyDescent="0.3">
      <c r="A192" t="s">
        <v>180</v>
      </c>
      <c r="B192">
        <v>30</v>
      </c>
      <c r="C192">
        <v>-23</v>
      </c>
      <c r="D192">
        <v>60</v>
      </c>
      <c r="E192">
        <f>SUM(Details[[#This Row],[Actual_Cost]],Details[[#This Row],[Profit]])</f>
        <v>37</v>
      </c>
      <c r="F192">
        <v>2</v>
      </c>
      <c r="G192">
        <f>PRODUCT(Details[[#This Row],[Selling_Cost]],Details[[#This Row],[Quantity]])</f>
        <v>74</v>
      </c>
      <c r="H192" t="s">
        <v>8</v>
      </c>
      <c r="I192" t="s">
        <v>9</v>
      </c>
      <c r="J192" t="s">
        <v>18</v>
      </c>
      <c r="K192" t="s">
        <v>578</v>
      </c>
      <c r="L192" t="s">
        <v>554</v>
      </c>
    </row>
    <row r="193" spans="1:12" x14ac:dyDescent="0.3">
      <c r="A193" t="s">
        <v>181</v>
      </c>
      <c r="B193">
        <v>42</v>
      </c>
      <c r="C193">
        <v>-23</v>
      </c>
      <c r="D193">
        <v>84</v>
      </c>
      <c r="E193">
        <f>SUM(Details[[#This Row],[Actual_Cost]],Details[[#This Row],[Profit]])</f>
        <v>61</v>
      </c>
      <c r="F193">
        <v>2</v>
      </c>
      <c r="G193">
        <f>PRODUCT(Details[[#This Row],[Selling_Cost]],Details[[#This Row],[Quantity]])</f>
        <v>122</v>
      </c>
      <c r="H193" t="s">
        <v>16</v>
      </c>
      <c r="I193" t="s">
        <v>32</v>
      </c>
      <c r="J193" t="s">
        <v>18</v>
      </c>
      <c r="K193" t="s">
        <v>552</v>
      </c>
      <c r="L193" t="s">
        <v>585</v>
      </c>
    </row>
    <row r="194" spans="1:12" x14ac:dyDescent="0.3">
      <c r="A194" t="s">
        <v>89</v>
      </c>
      <c r="B194">
        <v>61</v>
      </c>
      <c r="C194">
        <v>-23</v>
      </c>
      <c r="D194">
        <v>122</v>
      </c>
      <c r="E194">
        <f>SUM(Details[[#This Row],[Actual_Cost]],Details[[#This Row],[Profit]])</f>
        <v>99</v>
      </c>
      <c r="F194">
        <v>2</v>
      </c>
      <c r="G194">
        <f>PRODUCT(Details[[#This Row],[Selling_Cost]],Details[[#This Row],[Quantity]])</f>
        <v>198</v>
      </c>
      <c r="H194" t="s">
        <v>8</v>
      </c>
      <c r="I194" t="s">
        <v>9</v>
      </c>
      <c r="J194" t="s">
        <v>10</v>
      </c>
      <c r="K194" t="s">
        <v>548</v>
      </c>
      <c r="L194" t="s">
        <v>624</v>
      </c>
    </row>
    <row r="195" spans="1:12" x14ac:dyDescent="0.3">
      <c r="A195" t="s">
        <v>159</v>
      </c>
      <c r="B195">
        <v>229</v>
      </c>
      <c r="C195">
        <v>-23</v>
      </c>
      <c r="D195">
        <v>458</v>
      </c>
      <c r="E195">
        <f>SUM(Details[[#This Row],[Actual_Cost]],Details[[#This Row],[Profit]])</f>
        <v>435</v>
      </c>
      <c r="F195">
        <v>2</v>
      </c>
      <c r="G195">
        <f>PRODUCT(Details[[#This Row],[Selling_Cost]],Details[[#This Row],[Quantity]])</f>
        <v>870</v>
      </c>
      <c r="H195" t="s">
        <v>8</v>
      </c>
      <c r="I195" t="s">
        <v>9</v>
      </c>
      <c r="J195" t="s">
        <v>18</v>
      </c>
      <c r="K195" t="s">
        <v>548</v>
      </c>
      <c r="L195" t="s">
        <v>624</v>
      </c>
    </row>
    <row r="196" spans="1:12" x14ac:dyDescent="0.3">
      <c r="A196" t="s">
        <v>182</v>
      </c>
      <c r="B196">
        <v>646</v>
      </c>
      <c r="C196">
        <v>-23</v>
      </c>
      <c r="D196">
        <v>1292</v>
      </c>
      <c r="E196">
        <f>SUM(Details[[#This Row],[Actual_Cost]],Details[[#This Row],[Profit]])</f>
        <v>1269</v>
      </c>
      <c r="F196">
        <v>2</v>
      </c>
      <c r="G196">
        <f>PRODUCT(Details[[#This Row],[Selling_Cost]],Details[[#This Row],[Quantity]])</f>
        <v>2538</v>
      </c>
      <c r="H196" t="s">
        <v>13</v>
      </c>
      <c r="I196" t="s">
        <v>20</v>
      </c>
      <c r="J196" t="s">
        <v>27</v>
      </c>
      <c r="K196" t="s">
        <v>561</v>
      </c>
      <c r="L196" t="s">
        <v>546</v>
      </c>
    </row>
    <row r="197" spans="1:12" x14ac:dyDescent="0.3">
      <c r="A197" t="s">
        <v>164</v>
      </c>
      <c r="B197">
        <v>48</v>
      </c>
      <c r="C197">
        <v>-22</v>
      </c>
      <c r="D197">
        <v>96</v>
      </c>
      <c r="E197">
        <f>SUM(Details[[#This Row],[Actual_Cost]],Details[[#This Row],[Profit]])</f>
        <v>74</v>
      </c>
      <c r="F197">
        <v>2</v>
      </c>
      <c r="G197">
        <f>PRODUCT(Details[[#This Row],[Selling_Cost]],Details[[#This Row],[Quantity]])</f>
        <v>148</v>
      </c>
      <c r="H197" t="s">
        <v>8</v>
      </c>
      <c r="I197" t="s">
        <v>9</v>
      </c>
      <c r="J197" t="s">
        <v>125</v>
      </c>
      <c r="K197" t="s">
        <v>632</v>
      </c>
      <c r="L197" t="s">
        <v>554</v>
      </c>
    </row>
    <row r="198" spans="1:12" x14ac:dyDescent="0.3">
      <c r="A198" t="s">
        <v>183</v>
      </c>
      <c r="B198">
        <v>47</v>
      </c>
      <c r="C198">
        <v>-21</v>
      </c>
      <c r="D198">
        <v>94</v>
      </c>
      <c r="E198">
        <f>SUM(Details[[#This Row],[Actual_Cost]],Details[[#This Row],[Profit]])</f>
        <v>73</v>
      </c>
      <c r="F198">
        <v>2</v>
      </c>
      <c r="G198">
        <f>PRODUCT(Details[[#This Row],[Selling_Cost]],Details[[#This Row],[Quantity]])</f>
        <v>146</v>
      </c>
      <c r="H198" t="s">
        <v>13</v>
      </c>
      <c r="I198" t="s">
        <v>34</v>
      </c>
      <c r="J198" t="s">
        <v>10</v>
      </c>
      <c r="K198" t="s">
        <v>607</v>
      </c>
      <c r="L198" t="s">
        <v>554</v>
      </c>
    </row>
    <row r="199" spans="1:12" x14ac:dyDescent="0.3">
      <c r="A199" t="s">
        <v>184</v>
      </c>
      <c r="B199">
        <v>209</v>
      </c>
      <c r="C199">
        <v>-21</v>
      </c>
      <c r="D199">
        <v>418</v>
      </c>
      <c r="E199">
        <f>SUM(Details[[#This Row],[Actual_Cost]],Details[[#This Row],[Profit]])</f>
        <v>397</v>
      </c>
      <c r="F199">
        <v>2</v>
      </c>
      <c r="G199">
        <f>PRODUCT(Details[[#This Row],[Selling_Cost]],Details[[#This Row],[Quantity]])</f>
        <v>794</v>
      </c>
      <c r="H199" t="s">
        <v>13</v>
      </c>
      <c r="I199" t="s">
        <v>34</v>
      </c>
      <c r="J199" t="s">
        <v>18</v>
      </c>
      <c r="K199" t="s">
        <v>592</v>
      </c>
      <c r="L199" t="s">
        <v>583</v>
      </c>
    </row>
    <row r="200" spans="1:12" x14ac:dyDescent="0.3">
      <c r="A200" t="s">
        <v>185</v>
      </c>
      <c r="B200">
        <v>276</v>
      </c>
      <c r="C200">
        <v>-21</v>
      </c>
      <c r="D200">
        <v>552</v>
      </c>
      <c r="E200">
        <f>SUM(Details[[#This Row],[Actual_Cost]],Details[[#This Row],[Profit]])</f>
        <v>531</v>
      </c>
      <c r="F200">
        <v>2</v>
      </c>
      <c r="G200">
        <f>PRODUCT(Details[[#This Row],[Selling_Cost]],Details[[#This Row],[Quantity]])</f>
        <v>1062</v>
      </c>
      <c r="H200" t="s">
        <v>13</v>
      </c>
      <c r="I200" t="s">
        <v>14</v>
      </c>
      <c r="J200" t="s">
        <v>125</v>
      </c>
      <c r="K200" t="s">
        <v>711</v>
      </c>
      <c r="L200" t="s">
        <v>583</v>
      </c>
    </row>
    <row r="201" spans="1:12" x14ac:dyDescent="0.3">
      <c r="A201" t="s">
        <v>186</v>
      </c>
      <c r="B201">
        <v>27</v>
      </c>
      <c r="C201">
        <v>-20</v>
      </c>
      <c r="D201">
        <v>54</v>
      </c>
      <c r="E201">
        <f>SUM(Details[[#This Row],[Actual_Cost]],Details[[#This Row],[Profit]])</f>
        <v>34</v>
      </c>
      <c r="F201">
        <v>2</v>
      </c>
      <c r="G201">
        <f>PRODUCT(Details[[#This Row],[Selling_Cost]],Details[[#This Row],[Quantity]])</f>
        <v>68</v>
      </c>
      <c r="H201" t="s">
        <v>8</v>
      </c>
      <c r="I201" t="s">
        <v>48</v>
      </c>
      <c r="J201" t="s">
        <v>10</v>
      </c>
      <c r="K201" t="s">
        <v>539</v>
      </c>
      <c r="L201" t="s">
        <v>554</v>
      </c>
    </row>
    <row r="202" spans="1:12" x14ac:dyDescent="0.3">
      <c r="A202" t="s">
        <v>187</v>
      </c>
      <c r="B202">
        <v>47</v>
      </c>
      <c r="C202">
        <v>-20</v>
      </c>
      <c r="D202">
        <v>94</v>
      </c>
      <c r="E202">
        <f>SUM(Details[[#This Row],[Actual_Cost]],Details[[#This Row],[Profit]])</f>
        <v>74</v>
      </c>
      <c r="F202">
        <v>2</v>
      </c>
      <c r="G202">
        <f>PRODUCT(Details[[#This Row],[Selling_Cost]],Details[[#This Row],[Quantity]])</f>
        <v>148</v>
      </c>
      <c r="H202" t="s">
        <v>8</v>
      </c>
      <c r="I202" t="s">
        <v>44</v>
      </c>
      <c r="J202" t="s">
        <v>42</v>
      </c>
      <c r="K202" t="s">
        <v>548</v>
      </c>
      <c r="L202" t="s">
        <v>583</v>
      </c>
    </row>
    <row r="203" spans="1:12" x14ac:dyDescent="0.3">
      <c r="A203" t="s">
        <v>188</v>
      </c>
      <c r="B203">
        <v>220</v>
      </c>
      <c r="C203">
        <v>-19</v>
      </c>
      <c r="D203">
        <v>440</v>
      </c>
      <c r="E203">
        <f>SUM(Details[[#This Row],[Actual_Cost]],Details[[#This Row],[Profit]])</f>
        <v>421</v>
      </c>
      <c r="F203">
        <v>2</v>
      </c>
      <c r="G203">
        <f>PRODUCT(Details[[#This Row],[Selling_Cost]],Details[[#This Row],[Quantity]])</f>
        <v>842</v>
      </c>
      <c r="H203" t="s">
        <v>8</v>
      </c>
      <c r="I203" t="s">
        <v>9</v>
      </c>
      <c r="J203" t="s">
        <v>42</v>
      </c>
      <c r="K203" t="s">
        <v>607</v>
      </c>
      <c r="L203" t="s">
        <v>554</v>
      </c>
    </row>
    <row r="204" spans="1:12" x14ac:dyDescent="0.3">
      <c r="A204" t="s">
        <v>53</v>
      </c>
      <c r="B204">
        <v>559</v>
      </c>
      <c r="C204">
        <v>-19</v>
      </c>
      <c r="D204">
        <v>1118</v>
      </c>
      <c r="E204">
        <f>SUM(Details[[#This Row],[Actual_Cost]],Details[[#This Row],[Profit]])</f>
        <v>1099</v>
      </c>
      <c r="F204">
        <v>2</v>
      </c>
      <c r="G204">
        <f>PRODUCT(Details[[#This Row],[Selling_Cost]],Details[[#This Row],[Quantity]])</f>
        <v>2198</v>
      </c>
      <c r="H204" t="s">
        <v>8</v>
      </c>
      <c r="I204" t="s">
        <v>41</v>
      </c>
      <c r="J204" t="s">
        <v>42</v>
      </c>
      <c r="K204" t="s">
        <v>548</v>
      </c>
      <c r="L204" t="s">
        <v>583</v>
      </c>
    </row>
    <row r="205" spans="1:12" x14ac:dyDescent="0.3">
      <c r="A205" t="s">
        <v>103</v>
      </c>
      <c r="B205">
        <v>39</v>
      </c>
      <c r="C205">
        <v>-18</v>
      </c>
      <c r="D205">
        <v>78</v>
      </c>
      <c r="E205">
        <f>SUM(Details[[#This Row],[Actual_Cost]],Details[[#This Row],[Profit]])</f>
        <v>60</v>
      </c>
      <c r="F205">
        <v>2</v>
      </c>
      <c r="G205">
        <f>PRODUCT(Details[[#This Row],[Selling_Cost]],Details[[#This Row],[Quantity]])</f>
        <v>120</v>
      </c>
      <c r="H205" t="s">
        <v>8</v>
      </c>
      <c r="I205" t="s">
        <v>69</v>
      </c>
      <c r="J205" t="s">
        <v>27</v>
      </c>
      <c r="K205" t="s">
        <v>610</v>
      </c>
      <c r="L205" t="s">
        <v>541</v>
      </c>
    </row>
    <row r="206" spans="1:12" x14ac:dyDescent="0.3">
      <c r="A206" t="s">
        <v>24</v>
      </c>
      <c r="B206">
        <v>199</v>
      </c>
      <c r="C206">
        <v>-18</v>
      </c>
      <c r="D206">
        <v>398</v>
      </c>
      <c r="E206">
        <f>SUM(Details[[#This Row],[Actual_Cost]],Details[[#This Row],[Profit]])</f>
        <v>380</v>
      </c>
      <c r="F206">
        <v>2</v>
      </c>
      <c r="G206">
        <f>PRODUCT(Details[[#This Row],[Selling_Cost]],Details[[#This Row],[Quantity]])</f>
        <v>760</v>
      </c>
      <c r="H206" t="s">
        <v>8</v>
      </c>
      <c r="I206" t="s">
        <v>9</v>
      </c>
      <c r="J206" t="s">
        <v>10</v>
      </c>
      <c r="K206" t="s">
        <v>552</v>
      </c>
      <c r="L206" t="s">
        <v>554</v>
      </c>
    </row>
    <row r="207" spans="1:12" x14ac:dyDescent="0.3">
      <c r="A207" t="s">
        <v>66</v>
      </c>
      <c r="B207">
        <v>50</v>
      </c>
      <c r="C207">
        <v>-17</v>
      </c>
      <c r="D207">
        <v>100</v>
      </c>
      <c r="E207">
        <f>SUM(Details[[#This Row],[Actual_Cost]],Details[[#This Row],[Profit]])</f>
        <v>83</v>
      </c>
      <c r="F207">
        <v>2</v>
      </c>
      <c r="G207">
        <f>PRODUCT(Details[[#This Row],[Selling_Cost]],Details[[#This Row],[Quantity]])</f>
        <v>166</v>
      </c>
      <c r="H207" t="s">
        <v>8</v>
      </c>
      <c r="I207" t="s">
        <v>29</v>
      </c>
      <c r="J207" t="s">
        <v>10</v>
      </c>
      <c r="K207" t="s">
        <v>661</v>
      </c>
      <c r="L207" t="s">
        <v>541</v>
      </c>
    </row>
    <row r="208" spans="1:12" x14ac:dyDescent="0.3">
      <c r="A208" t="s">
        <v>189</v>
      </c>
      <c r="B208">
        <v>50</v>
      </c>
      <c r="C208">
        <v>-17</v>
      </c>
      <c r="D208">
        <v>100</v>
      </c>
      <c r="E208">
        <f>SUM(Details[[#This Row],[Actual_Cost]],Details[[#This Row],[Profit]])</f>
        <v>83</v>
      </c>
      <c r="F208">
        <v>2</v>
      </c>
      <c r="G208">
        <f>PRODUCT(Details[[#This Row],[Selling_Cost]],Details[[#This Row],[Quantity]])</f>
        <v>166</v>
      </c>
      <c r="H208" t="s">
        <v>8</v>
      </c>
      <c r="I208" t="s">
        <v>29</v>
      </c>
      <c r="J208" t="s">
        <v>10</v>
      </c>
      <c r="K208" t="s">
        <v>605</v>
      </c>
      <c r="L208" t="s">
        <v>583</v>
      </c>
    </row>
    <row r="209" spans="1:12" x14ac:dyDescent="0.3">
      <c r="A209" t="s">
        <v>64</v>
      </c>
      <c r="B209">
        <v>65</v>
      </c>
      <c r="C209">
        <v>-16</v>
      </c>
      <c r="D209">
        <v>130</v>
      </c>
      <c r="E209">
        <f>SUM(Details[[#This Row],[Actual_Cost]],Details[[#This Row],[Profit]])</f>
        <v>114</v>
      </c>
      <c r="F209">
        <v>2</v>
      </c>
      <c r="G209">
        <f>PRODUCT(Details[[#This Row],[Selling_Cost]],Details[[#This Row],[Quantity]])</f>
        <v>228</v>
      </c>
      <c r="H209" t="s">
        <v>13</v>
      </c>
      <c r="I209" t="s">
        <v>14</v>
      </c>
      <c r="J209" t="s">
        <v>42</v>
      </c>
      <c r="K209" t="s">
        <v>626</v>
      </c>
      <c r="L209" t="s">
        <v>585</v>
      </c>
    </row>
    <row r="210" spans="1:12" x14ac:dyDescent="0.3">
      <c r="A210" t="s">
        <v>190</v>
      </c>
      <c r="B210">
        <v>45</v>
      </c>
      <c r="C210">
        <v>-15</v>
      </c>
      <c r="D210">
        <v>90</v>
      </c>
      <c r="E210">
        <f>SUM(Details[[#This Row],[Actual_Cost]],Details[[#This Row],[Profit]])</f>
        <v>75</v>
      </c>
      <c r="F210">
        <v>2</v>
      </c>
      <c r="G210">
        <f>PRODUCT(Details[[#This Row],[Selling_Cost]],Details[[#This Row],[Quantity]])</f>
        <v>150</v>
      </c>
      <c r="H210" t="s">
        <v>16</v>
      </c>
      <c r="I210" t="s">
        <v>23</v>
      </c>
      <c r="J210" t="s">
        <v>10</v>
      </c>
      <c r="K210" t="s">
        <v>569</v>
      </c>
      <c r="L210" t="s">
        <v>563</v>
      </c>
    </row>
    <row r="211" spans="1:12" x14ac:dyDescent="0.3">
      <c r="A211" t="s">
        <v>43</v>
      </c>
      <c r="B211">
        <v>221</v>
      </c>
      <c r="C211">
        <v>-15</v>
      </c>
      <c r="D211">
        <v>442</v>
      </c>
      <c r="E211">
        <f>SUM(Details[[#This Row],[Actual_Cost]],Details[[#This Row],[Profit]])</f>
        <v>427</v>
      </c>
      <c r="F211">
        <v>2</v>
      </c>
      <c r="G211">
        <f>PRODUCT(Details[[#This Row],[Selling_Cost]],Details[[#This Row],[Quantity]])</f>
        <v>854</v>
      </c>
      <c r="H211" t="s">
        <v>13</v>
      </c>
      <c r="I211" t="s">
        <v>34</v>
      </c>
      <c r="J211" t="s">
        <v>10</v>
      </c>
      <c r="K211" t="s">
        <v>548</v>
      </c>
      <c r="L211" t="s">
        <v>554</v>
      </c>
    </row>
    <row r="212" spans="1:12" x14ac:dyDescent="0.3">
      <c r="A212" t="s">
        <v>157</v>
      </c>
      <c r="B212">
        <v>70</v>
      </c>
      <c r="C212">
        <v>-14</v>
      </c>
      <c r="D212">
        <v>140</v>
      </c>
      <c r="E212">
        <f>SUM(Details[[#This Row],[Actual_Cost]],Details[[#This Row],[Profit]])</f>
        <v>126</v>
      </c>
      <c r="F212">
        <v>2</v>
      </c>
      <c r="G212">
        <f>PRODUCT(Details[[#This Row],[Selling_Cost]],Details[[#This Row],[Quantity]])</f>
        <v>252</v>
      </c>
      <c r="H212" t="s">
        <v>16</v>
      </c>
      <c r="I212" t="s">
        <v>32</v>
      </c>
      <c r="J212" t="s">
        <v>18</v>
      </c>
      <c r="K212" t="s">
        <v>587</v>
      </c>
      <c r="L212" t="s">
        <v>554</v>
      </c>
    </row>
    <row r="213" spans="1:12" x14ac:dyDescent="0.3">
      <c r="A213" t="s">
        <v>63</v>
      </c>
      <c r="B213">
        <v>243</v>
      </c>
      <c r="C213">
        <v>-14</v>
      </c>
      <c r="D213">
        <v>486</v>
      </c>
      <c r="E213">
        <f>SUM(Details[[#This Row],[Actual_Cost]],Details[[#This Row],[Profit]])</f>
        <v>472</v>
      </c>
      <c r="F213">
        <v>2</v>
      </c>
      <c r="G213">
        <f>PRODUCT(Details[[#This Row],[Selling_Cost]],Details[[#This Row],[Quantity]])</f>
        <v>944</v>
      </c>
      <c r="H213" t="s">
        <v>16</v>
      </c>
      <c r="I213" t="s">
        <v>23</v>
      </c>
      <c r="J213" t="s">
        <v>10</v>
      </c>
      <c r="K213" t="s">
        <v>552</v>
      </c>
      <c r="L213" t="s">
        <v>585</v>
      </c>
    </row>
    <row r="214" spans="1:12" x14ac:dyDescent="0.3">
      <c r="A214" t="s">
        <v>184</v>
      </c>
      <c r="B214">
        <v>437</v>
      </c>
      <c r="C214">
        <v>-14</v>
      </c>
      <c r="D214">
        <v>874</v>
      </c>
      <c r="E214">
        <f>SUM(Details[[#This Row],[Actual_Cost]],Details[[#This Row],[Profit]])</f>
        <v>860</v>
      </c>
      <c r="F214">
        <v>2</v>
      </c>
      <c r="G214">
        <f>PRODUCT(Details[[#This Row],[Selling_Cost]],Details[[#This Row],[Quantity]])</f>
        <v>1720</v>
      </c>
      <c r="H214" t="s">
        <v>8</v>
      </c>
      <c r="I214" t="s">
        <v>9</v>
      </c>
      <c r="J214" t="s">
        <v>18</v>
      </c>
      <c r="K214" t="s">
        <v>592</v>
      </c>
      <c r="L214" t="s">
        <v>583</v>
      </c>
    </row>
    <row r="215" spans="1:12" x14ac:dyDescent="0.3">
      <c r="A215" t="s">
        <v>12</v>
      </c>
      <c r="B215">
        <v>13</v>
      </c>
      <c r="C215">
        <v>-13</v>
      </c>
      <c r="D215">
        <v>26</v>
      </c>
      <c r="E215">
        <f>SUM(Details[[#This Row],[Actual_Cost]],Details[[#This Row],[Profit]])</f>
        <v>13</v>
      </c>
      <c r="F215">
        <v>2</v>
      </c>
      <c r="G215">
        <f>PRODUCT(Details[[#This Row],[Selling_Cost]],Details[[#This Row],[Quantity]])</f>
        <v>26</v>
      </c>
      <c r="H215" t="s">
        <v>8</v>
      </c>
      <c r="I215" t="s">
        <v>58</v>
      </c>
      <c r="J215" t="s">
        <v>10</v>
      </c>
      <c r="K215" t="s">
        <v>552</v>
      </c>
      <c r="L215" t="s">
        <v>585</v>
      </c>
    </row>
    <row r="216" spans="1:12" x14ac:dyDescent="0.3">
      <c r="A216" t="s">
        <v>191</v>
      </c>
      <c r="B216">
        <v>381</v>
      </c>
      <c r="C216">
        <v>-13</v>
      </c>
      <c r="D216">
        <v>762</v>
      </c>
      <c r="E216">
        <f>SUM(Details[[#This Row],[Actual_Cost]],Details[[#This Row],[Profit]])</f>
        <v>749</v>
      </c>
      <c r="F216">
        <v>2</v>
      </c>
      <c r="G216">
        <f>PRODUCT(Details[[#This Row],[Selling_Cost]],Details[[#This Row],[Quantity]])</f>
        <v>1498</v>
      </c>
      <c r="H216" t="s">
        <v>8</v>
      </c>
      <c r="I216" t="s">
        <v>9</v>
      </c>
      <c r="J216" t="s">
        <v>10</v>
      </c>
      <c r="K216" t="s">
        <v>581</v>
      </c>
      <c r="L216" t="s">
        <v>585</v>
      </c>
    </row>
    <row r="217" spans="1:12" x14ac:dyDescent="0.3">
      <c r="A217" t="s">
        <v>28</v>
      </c>
      <c r="B217">
        <v>16</v>
      </c>
      <c r="C217">
        <v>-12</v>
      </c>
      <c r="D217">
        <v>32</v>
      </c>
      <c r="E217">
        <f>SUM(Details[[#This Row],[Actual_Cost]],Details[[#This Row],[Profit]])</f>
        <v>20</v>
      </c>
      <c r="F217">
        <v>2</v>
      </c>
      <c r="G217">
        <f>PRODUCT(Details[[#This Row],[Selling_Cost]],Details[[#This Row],[Quantity]])</f>
        <v>40</v>
      </c>
      <c r="H217" t="s">
        <v>8</v>
      </c>
      <c r="I217" t="s">
        <v>29</v>
      </c>
      <c r="J217" t="s">
        <v>18</v>
      </c>
      <c r="K217" t="s">
        <v>548</v>
      </c>
      <c r="L217" t="s">
        <v>614</v>
      </c>
    </row>
    <row r="218" spans="1:12" x14ac:dyDescent="0.3">
      <c r="A218" t="s">
        <v>192</v>
      </c>
      <c r="B218">
        <v>98</v>
      </c>
      <c r="C218">
        <v>-12</v>
      </c>
      <c r="D218">
        <v>196</v>
      </c>
      <c r="E218">
        <f>SUM(Details[[#This Row],[Actual_Cost]],Details[[#This Row],[Profit]])</f>
        <v>184</v>
      </c>
      <c r="F218">
        <v>2</v>
      </c>
      <c r="G218">
        <f>PRODUCT(Details[[#This Row],[Selling_Cost]],Details[[#This Row],[Quantity]])</f>
        <v>368</v>
      </c>
      <c r="H218" t="s">
        <v>13</v>
      </c>
      <c r="I218" t="s">
        <v>34</v>
      </c>
      <c r="J218" t="s">
        <v>27</v>
      </c>
      <c r="K218" t="s">
        <v>581</v>
      </c>
      <c r="L218" t="s">
        <v>565</v>
      </c>
    </row>
    <row r="219" spans="1:12" x14ac:dyDescent="0.3">
      <c r="A219" t="s">
        <v>118</v>
      </c>
      <c r="B219">
        <v>1250</v>
      </c>
      <c r="C219">
        <v>-12</v>
      </c>
      <c r="D219">
        <v>2500</v>
      </c>
      <c r="E219">
        <f>SUM(Details[[#This Row],[Actual_Cost]],Details[[#This Row],[Profit]])</f>
        <v>2488</v>
      </c>
      <c r="F219">
        <v>2</v>
      </c>
      <c r="G219">
        <f>PRODUCT(Details[[#This Row],[Selling_Cost]],Details[[#This Row],[Quantity]])</f>
        <v>4976</v>
      </c>
      <c r="H219" t="s">
        <v>13</v>
      </c>
      <c r="I219" t="s">
        <v>20</v>
      </c>
      <c r="J219" t="s">
        <v>125</v>
      </c>
      <c r="K219" t="s">
        <v>539</v>
      </c>
      <c r="L219" t="s">
        <v>541</v>
      </c>
    </row>
    <row r="220" spans="1:12" x14ac:dyDescent="0.3">
      <c r="A220" t="s">
        <v>74</v>
      </c>
      <c r="B220">
        <v>16</v>
      </c>
      <c r="C220">
        <v>-10</v>
      </c>
      <c r="D220">
        <v>32</v>
      </c>
      <c r="E220">
        <f>SUM(Details[[#This Row],[Actual_Cost]],Details[[#This Row],[Profit]])</f>
        <v>22</v>
      </c>
      <c r="F220">
        <v>2</v>
      </c>
      <c r="G220">
        <f>PRODUCT(Details[[#This Row],[Selling_Cost]],Details[[#This Row],[Quantity]])</f>
        <v>44</v>
      </c>
      <c r="H220" t="s">
        <v>8</v>
      </c>
      <c r="I220" t="s">
        <v>46</v>
      </c>
      <c r="J220" t="s">
        <v>10</v>
      </c>
      <c r="K220" t="s">
        <v>552</v>
      </c>
      <c r="L220" t="s">
        <v>624</v>
      </c>
    </row>
    <row r="221" spans="1:12" x14ac:dyDescent="0.3">
      <c r="A221" t="s">
        <v>193</v>
      </c>
      <c r="B221">
        <v>30</v>
      </c>
      <c r="C221">
        <v>-10</v>
      </c>
      <c r="D221">
        <v>60</v>
      </c>
      <c r="E221">
        <f>SUM(Details[[#This Row],[Actual_Cost]],Details[[#This Row],[Profit]])</f>
        <v>50</v>
      </c>
      <c r="F221">
        <v>2</v>
      </c>
      <c r="G221">
        <f>PRODUCT(Details[[#This Row],[Selling_Cost]],Details[[#This Row],[Quantity]])</f>
        <v>100</v>
      </c>
      <c r="H221" t="s">
        <v>8</v>
      </c>
      <c r="I221" t="s">
        <v>29</v>
      </c>
      <c r="J221" t="s">
        <v>10</v>
      </c>
      <c r="K221" t="s">
        <v>548</v>
      </c>
      <c r="L221" t="s">
        <v>614</v>
      </c>
    </row>
    <row r="222" spans="1:12" x14ac:dyDescent="0.3">
      <c r="A222" t="s">
        <v>194</v>
      </c>
      <c r="B222">
        <v>60</v>
      </c>
      <c r="C222">
        <v>-10</v>
      </c>
      <c r="D222">
        <v>120</v>
      </c>
      <c r="E222">
        <f>SUM(Details[[#This Row],[Actual_Cost]],Details[[#This Row],[Profit]])</f>
        <v>110</v>
      </c>
      <c r="F222">
        <v>2</v>
      </c>
      <c r="G222">
        <f>PRODUCT(Details[[#This Row],[Selling_Cost]],Details[[#This Row],[Quantity]])</f>
        <v>220</v>
      </c>
      <c r="H222" t="s">
        <v>16</v>
      </c>
      <c r="I222" t="s">
        <v>32</v>
      </c>
      <c r="J222" t="s">
        <v>10</v>
      </c>
      <c r="K222" t="s">
        <v>552</v>
      </c>
      <c r="L222" t="s">
        <v>550</v>
      </c>
    </row>
    <row r="223" spans="1:12" x14ac:dyDescent="0.3">
      <c r="A223" t="s">
        <v>164</v>
      </c>
      <c r="B223">
        <v>9</v>
      </c>
      <c r="C223">
        <v>-9</v>
      </c>
      <c r="D223">
        <v>18</v>
      </c>
      <c r="E223">
        <f>SUM(Details[[#This Row],[Actual_Cost]],Details[[#This Row],[Profit]])</f>
        <v>9</v>
      </c>
      <c r="F223">
        <v>2</v>
      </c>
      <c r="G223">
        <f>PRODUCT(Details[[#This Row],[Selling_Cost]],Details[[#This Row],[Quantity]])</f>
        <v>18</v>
      </c>
      <c r="H223" t="s">
        <v>8</v>
      </c>
      <c r="I223" t="s">
        <v>44</v>
      </c>
      <c r="J223" t="s">
        <v>10</v>
      </c>
      <c r="K223" t="s">
        <v>632</v>
      </c>
      <c r="L223" t="s">
        <v>554</v>
      </c>
    </row>
    <row r="224" spans="1:12" x14ac:dyDescent="0.3">
      <c r="A224" t="s">
        <v>60</v>
      </c>
      <c r="B224">
        <v>13</v>
      </c>
      <c r="C224">
        <v>-9</v>
      </c>
      <c r="D224">
        <v>26</v>
      </c>
      <c r="E224">
        <f>SUM(Details[[#This Row],[Actual_Cost]],Details[[#This Row],[Profit]])</f>
        <v>17</v>
      </c>
      <c r="F224">
        <v>2</v>
      </c>
      <c r="G224">
        <f>PRODUCT(Details[[#This Row],[Selling_Cost]],Details[[#This Row],[Quantity]])</f>
        <v>34</v>
      </c>
      <c r="H224" t="s">
        <v>8</v>
      </c>
      <c r="I224" t="s">
        <v>58</v>
      </c>
      <c r="J224" t="s">
        <v>10</v>
      </c>
      <c r="K224" t="s">
        <v>548</v>
      </c>
      <c r="L224" t="s">
        <v>563</v>
      </c>
    </row>
    <row r="225" spans="1:12" x14ac:dyDescent="0.3">
      <c r="A225" t="s">
        <v>169</v>
      </c>
      <c r="B225">
        <v>10</v>
      </c>
      <c r="C225">
        <v>-8</v>
      </c>
      <c r="D225">
        <v>20</v>
      </c>
      <c r="E225">
        <f>SUM(Details[[#This Row],[Actual_Cost]],Details[[#This Row],[Profit]])</f>
        <v>12</v>
      </c>
      <c r="F225">
        <v>2</v>
      </c>
      <c r="G225">
        <f>PRODUCT(Details[[#This Row],[Selling_Cost]],Details[[#This Row],[Quantity]])</f>
        <v>24</v>
      </c>
      <c r="H225" t="s">
        <v>8</v>
      </c>
      <c r="I225" t="s">
        <v>58</v>
      </c>
      <c r="J225" t="s">
        <v>10</v>
      </c>
      <c r="K225" t="s">
        <v>552</v>
      </c>
      <c r="L225" t="s">
        <v>585</v>
      </c>
    </row>
    <row r="226" spans="1:12" x14ac:dyDescent="0.3">
      <c r="A226" t="s">
        <v>195</v>
      </c>
      <c r="B226">
        <v>11</v>
      </c>
      <c r="C226">
        <v>-8</v>
      </c>
      <c r="D226">
        <v>22</v>
      </c>
      <c r="E226">
        <f>SUM(Details[[#This Row],[Actual_Cost]],Details[[#This Row],[Profit]])</f>
        <v>14</v>
      </c>
      <c r="F226">
        <v>2</v>
      </c>
      <c r="G226">
        <f>PRODUCT(Details[[#This Row],[Selling_Cost]],Details[[#This Row],[Quantity]])</f>
        <v>28</v>
      </c>
      <c r="H226" t="s">
        <v>8</v>
      </c>
      <c r="I226" t="s">
        <v>58</v>
      </c>
      <c r="J226" t="s">
        <v>18</v>
      </c>
      <c r="K226" t="s">
        <v>661</v>
      </c>
      <c r="L226" t="s">
        <v>554</v>
      </c>
    </row>
    <row r="227" spans="1:12" x14ac:dyDescent="0.3">
      <c r="A227" t="s">
        <v>196</v>
      </c>
      <c r="B227">
        <v>32</v>
      </c>
      <c r="C227">
        <v>-8</v>
      </c>
      <c r="D227">
        <v>64</v>
      </c>
      <c r="E227">
        <f>SUM(Details[[#This Row],[Actual_Cost]],Details[[#This Row],[Profit]])</f>
        <v>56</v>
      </c>
      <c r="F227">
        <v>2</v>
      </c>
      <c r="G227">
        <f>PRODUCT(Details[[#This Row],[Selling_Cost]],Details[[#This Row],[Quantity]])</f>
        <v>112</v>
      </c>
      <c r="H227" t="s">
        <v>8</v>
      </c>
      <c r="I227" t="s">
        <v>29</v>
      </c>
      <c r="J227" t="s">
        <v>10</v>
      </c>
      <c r="K227" t="s">
        <v>552</v>
      </c>
      <c r="L227" t="s">
        <v>614</v>
      </c>
    </row>
    <row r="228" spans="1:12" x14ac:dyDescent="0.3">
      <c r="A228" t="s">
        <v>197</v>
      </c>
      <c r="B228">
        <v>35</v>
      </c>
      <c r="C228">
        <v>-8</v>
      </c>
      <c r="D228">
        <v>70</v>
      </c>
      <c r="E228">
        <f>SUM(Details[[#This Row],[Actual_Cost]],Details[[#This Row],[Profit]])</f>
        <v>62</v>
      </c>
      <c r="F228">
        <v>2</v>
      </c>
      <c r="G228">
        <f>PRODUCT(Details[[#This Row],[Selling_Cost]],Details[[#This Row],[Quantity]])</f>
        <v>124</v>
      </c>
      <c r="H228" t="s">
        <v>16</v>
      </c>
      <c r="I228" t="s">
        <v>32</v>
      </c>
      <c r="J228" t="s">
        <v>42</v>
      </c>
      <c r="K228" t="s">
        <v>578</v>
      </c>
      <c r="L228" t="s">
        <v>565</v>
      </c>
    </row>
    <row r="229" spans="1:12" x14ac:dyDescent="0.3">
      <c r="A229" t="s">
        <v>198</v>
      </c>
      <c r="B229">
        <v>58</v>
      </c>
      <c r="C229">
        <v>-8</v>
      </c>
      <c r="D229">
        <v>116</v>
      </c>
      <c r="E229">
        <f>SUM(Details[[#This Row],[Actual_Cost]],Details[[#This Row],[Profit]])</f>
        <v>108</v>
      </c>
      <c r="F229">
        <v>2</v>
      </c>
      <c r="G229">
        <f>PRODUCT(Details[[#This Row],[Selling_Cost]],Details[[#This Row],[Quantity]])</f>
        <v>216</v>
      </c>
      <c r="H229" t="s">
        <v>8</v>
      </c>
      <c r="I229" t="s">
        <v>9</v>
      </c>
      <c r="J229" t="s">
        <v>10</v>
      </c>
      <c r="K229" t="s">
        <v>548</v>
      </c>
      <c r="L229" t="s">
        <v>554</v>
      </c>
    </row>
    <row r="230" spans="1:12" x14ac:dyDescent="0.3">
      <c r="A230" t="s">
        <v>199</v>
      </c>
      <c r="B230">
        <v>299</v>
      </c>
      <c r="C230">
        <v>-8</v>
      </c>
      <c r="D230">
        <v>598</v>
      </c>
      <c r="E230">
        <f>SUM(Details[[#This Row],[Actual_Cost]],Details[[#This Row],[Profit]])</f>
        <v>590</v>
      </c>
      <c r="F230">
        <v>2</v>
      </c>
      <c r="G230">
        <f>PRODUCT(Details[[#This Row],[Selling_Cost]],Details[[#This Row],[Quantity]])</f>
        <v>1180</v>
      </c>
      <c r="H230" t="s">
        <v>8</v>
      </c>
      <c r="I230" t="s">
        <v>9</v>
      </c>
      <c r="J230" t="s">
        <v>10</v>
      </c>
      <c r="K230" t="s">
        <v>578</v>
      </c>
      <c r="L230" t="s">
        <v>624</v>
      </c>
    </row>
    <row r="231" spans="1:12" x14ac:dyDescent="0.3">
      <c r="A231" t="s">
        <v>28</v>
      </c>
      <c r="B231">
        <v>12</v>
      </c>
      <c r="C231">
        <v>-7</v>
      </c>
      <c r="D231">
        <v>24</v>
      </c>
      <c r="E231">
        <f>SUM(Details[[#This Row],[Actual_Cost]],Details[[#This Row],[Profit]])</f>
        <v>17</v>
      </c>
      <c r="F231">
        <v>2</v>
      </c>
      <c r="G231">
        <f>PRODUCT(Details[[#This Row],[Selling_Cost]],Details[[#This Row],[Quantity]])</f>
        <v>34</v>
      </c>
      <c r="H231" t="s">
        <v>8</v>
      </c>
      <c r="I231" t="s">
        <v>69</v>
      </c>
      <c r="J231" t="s">
        <v>18</v>
      </c>
      <c r="K231" t="s">
        <v>548</v>
      </c>
      <c r="L231" t="s">
        <v>614</v>
      </c>
    </row>
    <row r="232" spans="1:12" x14ac:dyDescent="0.3">
      <c r="A232" t="s">
        <v>200</v>
      </c>
      <c r="B232">
        <v>9</v>
      </c>
      <c r="C232">
        <v>-6</v>
      </c>
      <c r="D232">
        <v>18</v>
      </c>
      <c r="E232">
        <f>SUM(Details[[#This Row],[Actual_Cost]],Details[[#This Row],[Profit]])</f>
        <v>12</v>
      </c>
      <c r="F232">
        <v>2</v>
      </c>
      <c r="G232">
        <f>PRODUCT(Details[[#This Row],[Selling_Cost]],Details[[#This Row],[Quantity]])</f>
        <v>24</v>
      </c>
      <c r="H232" t="s">
        <v>8</v>
      </c>
      <c r="I232" t="s">
        <v>48</v>
      </c>
      <c r="J232" t="s">
        <v>10</v>
      </c>
      <c r="K232" t="s">
        <v>661</v>
      </c>
      <c r="L232" t="s">
        <v>624</v>
      </c>
    </row>
    <row r="233" spans="1:12" x14ac:dyDescent="0.3">
      <c r="A233" t="s">
        <v>59</v>
      </c>
      <c r="B233">
        <v>9</v>
      </c>
      <c r="C233">
        <v>-6</v>
      </c>
      <c r="D233">
        <v>18</v>
      </c>
      <c r="E233">
        <f>SUM(Details[[#This Row],[Actual_Cost]],Details[[#This Row],[Profit]])</f>
        <v>12</v>
      </c>
      <c r="F233">
        <v>2</v>
      </c>
      <c r="G233">
        <f>PRODUCT(Details[[#This Row],[Selling_Cost]],Details[[#This Row],[Quantity]])</f>
        <v>24</v>
      </c>
      <c r="H233" t="s">
        <v>8</v>
      </c>
      <c r="I233" t="s">
        <v>58</v>
      </c>
      <c r="J233" t="s">
        <v>27</v>
      </c>
      <c r="K233" t="s">
        <v>552</v>
      </c>
      <c r="L233" t="s">
        <v>624</v>
      </c>
    </row>
    <row r="234" spans="1:12" x14ac:dyDescent="0.3">
      <c r="A234" t="s">
        <v>39</v>
      </c>
      <c r="B234">
        <v>30</v>
      </c>
      <c r="C234">
        <v>-6</v>
      </c>
      <c r="D234">
        <v>60</v>
      </c>
      <c r="E234">
        <f>SUM(Details[[#This Row],[Actual_Cost]],Details[[#This Row],[Profit]])</f>
        <v>54</v>
      </c>
      <c r="F234">
        <v>2</v>
      </c>
      <c r="G234">
        <f>PRODUCT(Details[[#This Row],[Selling_Cost]],Details[[#This Row],[Quantity]])</f>
        <v>108</v>
      </c>
      <c r="H234" t="s">
        <v>8</v>
      </c>
      <c r="I234" t="s">
        <v>48</v>
      </c>
      <c r="J234" t="s">
        <v>18</v>
      </c>
      <c r="K234" t="s">
        <v>552</v>
      </c>
      <c r="L234" t="s">
        <v>583</v>
      </c>
    </row>
    <row r="235" spans="1:12" x14ac:dyDescent="0.3">
      <c r="A235" t="s">
        <v>201</v>
      </c>
      <c r="B235">
        <v>38</v>
      </c>
      <c r="C235">
        <v>-6</v>
      </c>
      <c r="D235">
        <v>76</v>
      </c>
      <c r="E235">
        <f>SUM(Details[[#This Row],[Actual_Cost]],Details[[#This Row],[Profit]])</f>
        <v>70</v>
      </c>
      <c r="F235">
        <v>2</v>
      </c>
      <c r="G235">
        <f>PRODUCT(Details[[#This Row],[Selling_Cost]],Details[[#This Row],[Quantity]])</f>
        <v>140</v>
      </c>
      <c r="H235" t="s">
        <v>16</v>
      </c>
      <c r="I235" t="s">
        <v>32</v>
      </c>
      <c r="J235" t="s">
        <v>18</v>
      </c>
      <c r="K235" t="s">
        <v>587</v>
      </c>
      <c r="L235" t="s">
        <v>583</v>
      </c>
    </row>
    <row r="236" spans="1:12" x14ac:dyDescent="0.3">
      <c r="A236" t="s">
        <v>24</v>
      </c>
      <c r="B236">
        <v>78</v>
      </c>
      <c r="C236">
        <v>-6</v>
      </c>
      <c r="D236">
        <v>156</v>
      </c>
      <c r="E236">
        <f>SUM(Details[[#This Row],[Actual_Cost]],Details[[#This Row],[Profit]])</f>
        <v>150</v>
      </c>
      <c r="F236">
        <v>2</v>
      </c>
      <c r="G236">
        <f>PRODUCT(Details[[#This Row],[Selling_Cost]],Details[[#This Row],[Quantity]])</f>
        <v>300</v>
      </c>
      <c r="H236" t="s">
        <v>16</v>
      </c>
      <c r="I236" t="s">
        <v>32</v>
      </c>
      <c r="J236" t="s">
        <v>18</v>
      </c>
      <c r="K236" t="s">
        <v>552</v>
      </c>
      <c r="L236" t="s">
        <v>554</v>
      </c>
    </row>
    <row r="237" spans="1:12" x14ac:dyDescent="0.3">
      <c r="A237" t="s">
        <v>202</v>
      </c>
      <c r="B237">
        <v>11</v>
      </c>
      <c r="C237">
        <v>-5</v>
      </c>
      <c r="D237">
        <v>22</v>
      </c>
      <c r="E237">
        <f>SUM(Details[[#This Row],[Actual_Cost]],Details[[#This Row],[Profit]])</f>
        <v>17</v>
      </c>
      <c r="F237">
        <v>2</v>
      </c>
      <c r="G237">
        <f>PRODUCT(Details[[#This Row],[Selling_Cost]],Details[[#This Row],[Quantity]])</f>
        <v>34</v>
      </c>
      <c r="H237" t="s">
        <v>8</v>
      </c>
      <c r="I237" t="s">
        <v>48</v>
      </c>
      <c r="J237" t="s">
        <v>10</v>
      </c>
      <c r="K237" t="s">
        <v>610</v>
      </c>
      <c r="L237" t="s">
        <v>614</v>
      </c>
    </row>
    <row r="238" spans="1:12" x14ac:dyDescent="0.3">
      <c r="A238" t="s">
        <v>203</v>
      </c>
      <c r="B238">
        <v>16</v>
      </c>
      <c r="C238">
        <v>-5</v>
      </c>
      <c r="D238">
        <v>32</v>
      </c>
      <c r="E238">
        <f>SUM(Details[[#This Row],[Actual_Cost]],Details[[#This Row],[Profit]])</f>
        <v>27</v>
      </c>
      <c r="F238">
        <v>2</v>
      </c>
      <c r="G238">
        <f>PRODUCT(Details[[#This Row],[Selling_Cost]],Details[[#This Row],[Quantity]])</f>
        <v>54</v>
      </c>
      <c r="H238" t="s">
        <v>8</v>
      </c>
      <c r="I238" t="s">
        <v>29</v>
      </c>
      <c r="J238" t="s">
        <v>18</v>
      </c>
      <c r="K238" t="s">
        <v>610</v>
      </c>
      <c r="L238" t="s">
        <v>614</v>
      </c>
    </row>
    <row r="239" spans="1:12" x14ac:dyDescent="0.3">
      <c r="A239" t="s">
        <v>204</v>
      </c>
      <c r="B239">
        <v>26</v>
      </c>
      <c r="C239">
        <v>-5</v>
      </c>
      <c r="D239">
        <v>52</v>
      </c>
      <c r="E239">
        <f>SUM(Details[[#This Row],[Actual_Cost]],Details[[#This Row],[Profit]])</f>
        <v>47</v>
      </c>
      <c r="F239">
        <v>2</v>
      </c>
      <c r="G239">
        <f>PRODUCT(Details[[#This Row],[Selling_Cost]],Details[[#This Row],[Quantity]])</f>
        <v>94</v>
      </c>
      <c r="H239" t="s">
        <v>8</v>
      </c>
      <c r="I239" t="s">
        <v>29</v>
      </c>
      <c r="J239" t="s">
        <v>18</v>
      </c>
      <c r="K239" t="s">
        <v>596</v>
      </c>
      <c r="L239" t="s">
        <v>614</v>
      </c>
    </row>
    <row r="240" spans="1:12" x14ac:dyDescent="0.3">
      <c r="A240" t="s">
        <v>205</v>
      </c>
      <c r="B240">
        <v>30</v>
      </c>
      <c r="C240">
        <v>-5</v>
      </c>
      <c r="D240">
        <v>60</v>
      </c>
      <c r="E240">
        <f>SUM(Details[[#This Row],[Actual_Cost]],Details[[#This Row],[Profit]])</f>
        <v>55</v>
      </c>
      <c r="F240">
        <v>2</v>
      </c>
      <c r="G240">
        <f>PRODUCT(Details[[#This Row],[Selling_Cost]],Details[[#This Row],[Quantity]])</f>
        <v>110</v>
      </c>
      <c r="H240" t="s">
        <v>16</v>
      </c>
      <c r="I240" t="s">
        <v>32</v>
      </c>
      <c r="J240" t="s">
        <v>10</v>
      </c>
      <c r="K240" t="s">
        <v>578</v>
      </c>
      <c r="L240" t="s">
        <v>565</v>
      </c>
    </row>
    <row r="241" spans="1:12" x14ac:dyDescent="0.3">
      <c r="A241" t="s">
        <v>43</v>
      </c>
      <c r="B241">
        <v>43</v>
      </c>
      <c r="C241">
        <v>-5</v>
      </c>
      <c r="D241">
        <v>86</v>
      </c>
      <c r="E241">
        <f>SUM(Details[[#This Row],[Actual_Cost]],Details[[#This Row],[Profit]])</f>
        <v>81</v>
      </c>
      <c r="F241">
        <v>2</v>
      </c>
      <c r="G241">
        <f>PRODUCT(Details[[#This Row],[Selling_Cost]],Details[[#This Row],[Quantity]])</f>
        <v>162</v>
      </c>
      <c r="H241" t="s">
        <v>8</v>
      </c>
      <c r="I241" t="s">
        <v>9</v>
      </c>
      <c r="J241" t="s">
        <v>10</v>
      </c>
      <c r="K241" t="s">
        <v>548</v>
      </c>
      <c r="L241" t="s">
        <v>554</v>
      </c>
    </row>
    <row r="242" spans="1:12" x14ac:dyDescent="0.3">
      <c r="A242" t="s">
        <v>206</v>
      </c>
      <c r="B242">
        <v>98</v>
      </c>
      <c r="C242">
        <v>-5</v>
      </c>
      <c r="D242">
        <v>196</v>
      </c>
      <c r="E242">
        <f>SUM(Details[[#This Row],[Actual_Cost]],Details[[#This Row],[Profit]])</f>
        <v>191</v>
      </c>
      <c r="F242">
        <v>2</v>
      </c>
      <c r="G242">
        <f>PRODUCT(Details[[#This Row],[Selling_Cost]],Details[[#This Row],[Quantity]])</f>
        <v>382</v>
      </c>
      <c r="H242" t="s">
        <v>8</v>
      </c>
      <c r="I242" t="s">
        <v>9</v>
      </c>
      <c r="J242" t="s">
        <v>18</v>
      </c>
      <c r="K242" t="s">
        <v>552</v>
      </c>
      <c r="L242" t="s">
        <v>554</v>
      </c>
    </row>
    <row r="243" spans="1:12" x14ac:dyDescent="0.3">
      <c r="A243" t="s">
        <v>74</v>
      </c>
      <c r="B243">
        <v>11</v>
      </c>
      <c r="C243">
        <v>-4</v>
      </c>
      <c r="D243">
        <v>22</v>
      </c>
      <c r="E243">
        <f>SUM(Details[[#This Row],[Actual_Cost]],Details[[#This Row],[Profit]])</f>
        <v>18</v>
      </c>
      <c r="F243">
        <v>2</v>
      </c>
      <c r="G243">
        <f>PRODUCT(Details[[#This Row],[Selling_Cost]],Details[[#This Row],[Quantity]])</f>
        <v>36</v>
      </c>
      <c r="H243" t="s">
        <v>8</v>
      </c>
      <c r="I243" t="s">
        <v>58</v>
      </c>
      <c r="J243" t="s">
        <v>10</v>
      </c>
      <c r="K243" t="s">
        <v>552</v>
      </c>
      <c r="L243" t="s">
        <v>624</v>
      </c>
    </row>
    <row r="244" spans="1:12" x14ac:dyDescent="0.3">
      <c r="A244" t="s">
        <v>207</v>
      </c>
      <c r="B244">
        <v>355</v>
      </c>
      <c r="C244">
        <v>-4</v>
      </c>
      <c r="D244">
        <v>710</v>
      </c>
      <c r="E244">
        <f>SUM(Details[[#This Row],[Actual_Cost]],Details[[#This Row],[Profit]])</f>
        <v>706</v>
      </c>
      <c r="F244">
        <v>2</v>
      </c>
      <c r="G244">
        <f>PRODUCT(Details[[#This Row],[Selling_Cost]],Details[[#This Row],[Quantity]])</f>
        <v>1412</v>
      </c>
      <c r="H244" t="s">
        <v>8</v>
      </c>
      <c r="I244" t="s">
        <v>9</v>
      </c>
      <c r="J244" t="s">
        <v>42</v>
      </c>
      <c r="K244" t="s">
        <v>548</v>
      </c>
      <c r="L244" t="s">
        <v>583</v>
      </c>
    </row>
    <row r="245" spans="1:12" x14ac:dyDescent="0.3">
      <c r="A245" t="s">
        <v>208</v>
      </c>
      <c r="B245">
        <v>7</v>
      </c>
      <c r="C245">
        <v>-3</v>
      </c>
      <c r="D245">
        <v>14</v>
      </c>
      <c r="E245">
        <f>SUM(Details[[#This Row],[Actual_Cost]],Details[[#This Row],[Profit]])</f>
        <v>11</v>
      </c>
      <c r="F245">
        <v>2</v>
      </c>
      <c r="G245">
        <f>PRODUCT(Details[[#This Row],[Selling_Cost]],Details[[#This Row],[Quantity]])</f>
        <v>22</v>
      </c>
      <c r="H245" t="s">
        <v>8</v>
      </c>
      <c r="I245" t="s">
        <v>48</v>
      </c>
      <c r="J245" t="s">
        <v>10</v>
      </c>
      <c r="K245" t="s">
        <v>548</v>
      </c>
      <c r="L245" t="s">
        <v>585</v>
      </c>
    </row>
    <row r="246" spans="1:12" x14ac:dyDescent="0.3">
      <c r="A246" t="s">
        <v>21</v>
      </c>
      <c r="B246">
        <v>7</v>
      </c>
      <c r="C246">
        <v>-3</v>
      </c>
      <c r="D246">
        <v>14</v>
      </c>
      <c r="E246">
        <f>SUM(Details[[#This Row],[Actual_Cost]],Details[[#This Row],[Profit]])</f>
        <v>11</v>
      </c>
      <c r="F246">
        <v>2</v>
      </c>
      <c r="G246">
        <f>PRODUCT(Details[[#This Row],[Selling_Cost]],Details[[#This Row],[Quantity]])</f>
        <v>22</v>
      </c>
      <c r="H246" t="s">
        <v>8</v>
      </c>
      <c r="I246" t="s">
        <v>58</v>
      </c>
      <c r="J246" t="s">
        <v>18</v>
      </c>
      <c r="K246" t="s">
        <v>610</v>
      </c>
      <c r="L246" t="s">
        <v>585</v>
      </c>
    </row>
    <row r="247" spans="1:12" x14ac:dyDescent="0.3">
      <c r="A247" t="s">
        <v>43</v>
      </c>
      <c r="B247">
        <v>14</v>
      </c>
      <c r="C247">
        <v>-3</v>
      </c>
      <c r="D247">
        <v>28</v>
      </c>
      <c r="E247">
        <f>SUM(Details[[#This Row],[Actual_Cost]],Details[[#This Row],[Profit]])</f>
        <v>25</v>
      </c>
      <c r="F247">
        <v>2</v>
      </c>
      <c r="G247">
        <f>PRODUCT(Details[[#This Row],[Selling_Cost]],Details[[#This Row],[Quantity]])</f>
        <v>50</v>
      </c>
      <c r="H247" t="s">
        <v>8</v>
      </c>
      <c r="I247" t="s">
        <v>69</v>
      </c>
      <c r="J247" t="s">
        <v>10</v>
      </c>
      <c r="K247" t="s">
        <v>548</v>
      </c>
      <c r="L247" t="s">
        <v>554</v>
      </c>
    </row>
    <row r="248" spans="1:12" x14ac:dyDescent="0.3">
      <c r="A248" t="s">
        <v>181</v>
      </c>
      <c r="B248">
        <v>17</v>
      </c>
      <c r="C248">
        <v>-3</v>
      </c>
      <c r="D248">
        <v>34</v>
      </c>
      <c r="E248">
        <f>SUM(Details[[#This Row],[Actual_Cost]],Details[[#This Row],[Profit]])</f>
        <v>31</v>
      </c>
      <c r="F248">
        <v>2</v>
      </c>
      <c r="G248">
        <f>PRODUCT(Details[[#This Row],[Selling_Cost]],Details[[#This Row],[Quantity]])</f>
        <v>62</v>
      </c>
      <c r="H248" t="s">
        <v>8</v>
      </c>
      <c r="I248" t="s">
        <v>29</v>
      </c>
      <c r="J248" t="s">
        <v>18</v>
      </c>
      <c r="K248" t="s">
        <v>552</v>
      </c>
      <c r="L248" t="s">
        <v>585</v>
      </c>
    </row>
    <row r="249" spans="1:12" x14ac:dyDescent="0.3">
      <c r="A249" t="s">
        <v>131</v>
      </c>
      <c r="B249">
        <v>28</v>
      </c>
      <c r="C249">
        <v>-3</v>
      </c>
      <c r="D249">
        <v>56</v>
      </c>
      <c r="E249">
        <f>SUM(Details[[#This Row],[Actual_Cost]],Details[[#This Row],[Profit]])</f>
        <v>53</v>
      </c>
      <c r="F249">
        <v>2</v>
      </c>
      <c r="G249">
        <f>PRODUCT(Details[[#This Row],[Selling_Cost]],Details[[#This Row],[Quantity]])</f>
        <v>106</v>
      </c>
      <c r="H249" t="s">
        <v>8</v>
      </c>
      <c r="I249" t="s">
        <v>9</v>
      </c>
      <c r="J249" t="s">
        <v>18</v>
      </c>
      <c r="K249" t="s">
        <v>596</v>
      </c>
      <c r="L249" t="s">
        <v>624</v>
      </c>
    </row>
    <row r="250" spans="1:12" x14ac:dyDescent="0.3">
      <c r="A250" t="s">
        <v>209</v>
      </c>
      <c r="B250">
        <v>47</v>
      </c>
      <c r="C250">
        <v>-3</v>
      </c>
      <c r="D250">
        <v>94</v>
      </c>
      <c r="E250">
        <f>SUM(Details[[#This Row],[Actual_Cost]],Details[[#This Row],[Profit]])</f>
        <v>91</v>
      </c>
      <c r="F250">
        <v>2</v>
      </c>
      <c r="G250">
        <f>PRODUCT(Details[[#This Row],[Selling_Cost]],Details[[#This Row],[Quantity]])</f>
        <v>182</v>
      </c>
      <c r="H250" t="s">
        <v>8</v>
      </c>
      <c r="I250" t="s">
        <v>29</v>
      </c>
      <c r="J250" t="s">
        <v>10</v>
      </c>
      <c r="K250" t="s">
        <v>561</v>
      </c>
      <c r="L250" t="s">
        <v>563</v>
      </c>
    </row>
    <row r="251" spans="1:12" x14ac:dyDescent="0.3">
      <c r="A251" t="s">
        <v>175</v>
      </c>
      <c r="B251">
        <v>47</v>
      </c>
      <c r="C251">
        <v>-3</v>
      </c>
      <c r="D251">
        <v>94</v>
      </c>
      <c r="E251">
        <f>SUM(Details[[#This Row],[Actual_Cost]],Details[[#This Row],[Profit]])</f>
        <v>91</v>
      </c>
      <c r="F251">
        <v>2</v>
      </c>
      <c r="G251">
        <f>PRODUCT(Details[[#This Row],[Selling_Cost]],Details[[#This Row],[Quantity]])</f>
        <v>182</v>
      </c>
      <c r="H251" t="s">
        <v>8</v>
      </c>
      <c r="I251" t="s">
        <v>29</v>
      </c>
      <c r="J251" t="s">
        <v>18</v>
      </c>
      <c r="K251" t="s">
        <v>592</v>
      </c>
      <c r="L251" t="s">
        <v>554</v>
      </c>
    </row>
    <row r="252" spans="1:12" x14ac:dyDescent="0.3">
      <c r="A252" t="s">
        <v>175</v>
      </c>
      <c r="B252">
        <v>257</v>
      </c>
      <c r="C252">
        <v>-3</v>
      </c>
      <c r="D252">
        <v>514</v>
      </c>
      <c r="E252">
        <f>SUM(Details[[#This Row],[Actual_Cost]],Details[[#This Row],[Profit]])</f>
        <v>511</v>
      </c>
      <c r="F252">
        <v>2</v>
      </c>
      <c r="G252">
        <f>PRODUCT(Details[[#This Row],[Selling_Cost]],Details[[#This Row],[Quantity]])</f>
        <v>1022</v>
      </c>
      <c r="H252" t="s">
        <v>16</v>
      </c>
      <c r="I252" t="s">
        <v>17</v>
      </c>
      <c r="J252" t="s">
        <v>18</v>
      </c>
      <c r="K252" t="s">
        <v>592</v>
      </c>
      <c r="L252" t="s">
        <v>554</v>
      </c>
    </row>
    <row r="253" spans="1:12" x14ac:dyDescent="0.3">
      <c r="A253" t="s">
        <v>26</v>
      </c>
      <c r="B253">
        <v>8</v>
      </c>
      <c r="C253">
        <v>-2</v>
      </c>
      <c r="D253">
        <v>16</v>
      </c>
      <c r="E253">
        <f>SUM(Details[[#This Row],[Actual_Cost]],Details[[#This Row],[Profit]])</f>
        <v>14</v>
      </c>
      <c r="F253">
        <v>2</v>
      </c>
      <c r="G253">
        <f>PRODUCT(Details[[#This Row],[Selling_Cost]],Details[[#This Row],[Quantity]])</f>
        <v>28</v>
      </c>
      <c r="H253" t="s">
        <v>8</v>
      </c>
      <c r="I253" t="s">
        <v>48</v>
      </c>
      <c r="J253" t="s">
        <v>10</v>
      </c>
      <c r="K253" t="s">
        <v>552</v>
      </c>
      <c r="L253" t="s">
        <v>554</v>
      </c>
    </row>
    <row r="254" spans="1:12" x14ac:dyDescent="0.3">
      <c r="A254" t="s">
        <v>210</v>
      </c>
      <c r="B254">
        <v>10</v>
      </c>
      <c r="C254">
        <v>-2</v>
      </c>
      <c r="D254">
        <v>20</v>
      </c>
      <c r="E254">
        <f>SUM(Details[[#This Row],[Actual_Cost]],Details[[#This Row],[Profit]])</f>
        <v>18</v>
      </c>
      <c r="F254">
        <v>2</v>
      </c>
      <c r="G254">
        <f>PRODUCT(Details[[#This Row],[Selling_Cost]],Details[[#This Row],[Quantity]])</f>
        <v>36</v>
      </c>
      <c r="H254" t="s">
        <v>8</v>
      </c>
      <c r="I254" t="s">
        <v>69</v>
      </c>
      <c r="J254" t="s">
        <v>10</v>
      </c>
      <c r="K254" t="s">
        <v>569</v>
      </c>
      <c r="L254" t="s">
        <v>567</v>
      </c>
    </row>
    <row r="255" spans="1:12" x14ac:dyDescent="0.3">
      <c r="A255" t="s">
        <v>211</v>
      </c>
      <c r="B255">
        <v>19</v>
      </c>
      <c r="C255">
        <v>-2</v>
      </c>
      <c r="D255">
        <v>38</v>
      </c>
      <c r="E255">
        <f>SUM(Details[[#This Row],[Actual_Cost]],Details[[#This Row],[Profit]])</f>
        <v>36</v>
      </c>
      <c r="F255">
        <v>2</v>
      </c>
      <c r="G255">
        <f>PRODUCT(Details[[#This Row],[Selling_Cost]],Details[[#This Row],[Quantity]])</f>
        <v>72</v>
      </c>
      <c r="H255" t="s">
        <v>8</v>
      </c>
      <c r="I255" t="s">
        <v>69</v>
      </c>
      <c r="J255" t="s">
        <v>42</v>
      </c>
      <c r="K255" t="s">
        <v>581</v>
      </c>
      <c r="L255" t="s">
        <v>565</v>
      </c>
    </row>
    <row r="256" spans="1:12" x14ac:dyDescent="0.3">
      <c r="A256" t="s">
        <v>33</v>
      </c>
      <c r="B256">
        <v>24</v>
      </c>
      <c r="C256">
        <v>-2</v>
      </c>
      <c r="D256">
        <v>48</v>
      </c>
      <c r="E256">
        <f>SUM(Details[[#This Row],[Actual_Cost]],Details[[#This Row],[Profit]])</f>
        <v>46</v>
      </c>
      <c r="F256">
        <v>2</v>
      </c>
      <c r="G256">
        <f>PRODUCT(Details[[#This Row],[Selling_Cost]],Details[[#This Row],[Quantity]])</f>
        <v>92</v>
      </c>
      <c r="H256" t="s">
        <v>8</v>
      </c>
      <c r="I256" t="s">
        <v>46</v>
      </c>
      <c r="J256" t="s">
        <v>10</v>
      </c>
      <c r="K256" t="s">
        <v>548</v>
      </c>
      <c r="L256" t="s">
        <v>624</v>
      </c>
    </row>
    <row r="257" spans="1:12" x14ac:dyDescent="0.3">
      <c r="A257" t="s">
        <v>154</v>
      </c>
      <c r="B257">
        <v>31</v>
      </c>
      <c r="C257">
        <v>-2</v>
      </c>
      <c r="D257">
        <v>62</v>
      </c>
      <c r="E257">
        <f>SUM(Details[[#This Row],[Actual_Cost]],Details[[#This Row],[Profit]])</f>
        <v>60</v>
      </c>
      <c r="F257">
        <v>2</v>
      </c>
      <c r="G257">
        <f>PRODUCT(Details[[#This Row],[Selling_Cost]],Details[[#This Row],[Quantity]])</f>
        <v>120</v>
      </c>
      <c r="H257" t="s">
        <v>8</v>
      </c>
      <c r="I257" t="s">
        <v>9</v>
      </c>
      <c r="J257" t="s">
        <v>27</v>
      </c>
      <c r="K257" t="s">
        <v>548</v>
      </c>
      <c r="L257" t="s">
        <v>624</v>
      </c>
    </row>
    <row r="258" spans="1:12" x14ac:dyDescent="0.3">
      <c r="A258" t="s">
        <v>212</v>
      </c>
      <c r="B258">
        <v>79</v>
      </c>
      <c r="C258">
        <v>-2</v>
      </c>
      <c r="D258">
        <v>158</v>
      </c>
      <c r="E258">
        <f>SUM(Details[[#This Row],[Actual_Cost]],Details[[#This Row],[Profit]])</f>
        <v>156</v>
      </c>
      <c r="F258">
        <v>2</v>
      </c>
      <c r="G258">
        <f>PRODUCT(Details[[#This Row],[Selling_Cost]],Details[[#This Row],[Quantity]])</f>
        <v>312</v>
      </c>
      <c r="H258" t="s">
        <v>16</v>
      </c>
      <c r="I258" t="s">
        <v>32</v>
      </c>
      <c r="J258" t="s">
        <v>125</v>
      </c>
      <c r="K258" t="s">
        <v>548</v>
      </c>
      <c r="L258" t="s">
        <v>550</v>
      </c>
    </row>
    <row r="259" spans="1:12" x14ac:dyDescent="0.3">
      <c r="A259" t="s">
        <v>47</v>
      </c>
      <c r="B259">
        <v>7</v>
      </c>
      <c r="C259">
        <v>-1</v>
      </c>
      <c r="D259">
        <v>14</v>
      </c>
      <c r="E259">
        <f>SUM(Details[[#This Row],[Actual_Cost]],Details[[#This Row],[Profit]])</f>
        <v>13</v>
      </c>
      <c r="F259">
        <v>2</v>
      </c>
      <c r="G259">
        <f>PRODUCT(Details[[#This Row],[Selling_Cost]],Details[[#This Row],[Quantity]])</f>
        <v>26</v>
      </c>
      <c r="H259" t="s">
        <v>8</v>
      </c>
      <c r="I259" t="s">
        <v>58</v>
      </c>
      <c r="J259" t="s">
        <v>18</v>
      </c>
      <c r="K259" t="s">
        <v>539</v>
      </c>
      <c r="L259" t="s">
        <v>614</v>
      </c>
    </row>
    <row r="260" spans="1:12" x14ac:dyDescent="0.3">
      <c r="A260" t="s">
        <v>171</v>
      </c>
      <c r="B260">
        <v>7</v>
      </c>
      <c r="C260">
        <v>-1</v>
      </c>
      <c r="D260">
        <v>14</v>
      </c>
      <c r="E260">
        <f>SUM(Details[[#This Row],[Actual_Cost]],Details[[#This Row],[Profit]])</f>
        <v>13</v>
      </c>
      <c r="F260">
        <v>2</v>
      </c>
      <c r="G260">
        <f>PRODUCT(Details[[#This Row],[Selling_Cost]],Details[[#This Row],[Quantity]])</f>
        <v>26</v>
      </c>
      <c r="H260" t="s">
        <v>8</v>
      </c>
      <c r="I260" t="s">
        <v>48</v>
      </c>
      <c r="J260" t="s">
        <v>27</v>
      </c>
      <c r="K260" t="s">
        <v>641</v>
      </c>
      <c r="L260" t="s">
        <v>624</v>
      </c>
    </row>
    <row r="261" spans="1:12" x14ac:dyDescent="0.3">
      <c r="A261" t="s">
        <v>183</v>
      </c>
      <c r="B261">
        <v>8</v>
      </c>
      <c r="C261">
        <v>-1</v>
      </c>
      <c r="D261">
        <v>16</v>
      </c>
      <c r="E261">
        <f>SUM(Details[[#This Row],[Actual_Cost]],Details[[#This Row],[Profit]])</f>
        <v>15</v>
      </c>
      <c r="F261">
        <v>2</v>
      </c>
      <c r="G261">
        <f>PRODUCT(Details[[#This Row],[Selling_Cost]],Details[[#This Row],[Quantity]])</f>
        <v>30</v>
      </c>
      <c r="H261" t="s">
        <v>8</v>
      </c>
      <c r="I261" t="s">
        <v>69</v>
      </c>
      <c r="J261" t="s">
        <v>10</v>
      </c>
      <c r="K261" t="s">
        <v>607</v>
      </c>
      <c r="L261" t="s">
        <v>554</v>
      </c>
    </row>
    <row r="262" spans="1:12" x14ac:dyDescent="0.3">
      <c r="A262" t="s">
        <v>89</v>
      </c>
      <c r="B262">
        <v>24</v>
      </c>
      <c r="C262">
        <v>-1</v>
      </c>
      <c r="D262">
        <v>48</v>
      </c>
      <c r="E262">
        <f>SUM(Details[[#This Row],[Actual_Cost]],Details[[#This Row],[Profit]])</f>
        <v>47</v>
      </c>
      <c r="F262">
        <v>2</v>
      </c>
      <c r="G262">
        <f>PRODUCT(Details[[#This Row],[Selling_Cost]],Details[[#This Row],[Quantity]])</f>
        <v>94</v>
      </c>
      <c r="H262" t="s">
        <v>8</v>
      </c>
      <c r="I262" t="s">
        <v>48</v>
      </c>
      <c r="J262" t="s">
        <v>10</v>
      </c>
      <c r="K262" t="s">
        <v>548</v>
      </c>
      <c r="L262" t="s">
        <v>624</v>
      </c>
    </row>
    <row r="263" spans="1:12" x14ac:dyDescent="0.3">
      <c r="A263" t="s">
        <v>213</v>
      </c>
      <c r="B263">
        <v>93</v>
      </c>
      <c r="C263">
        <v>-1</v>
      </c>
      <c r="D263">
        <v>186</v>
      </c>
      <c r="E263">
        <f>SUM(Details[[#This Row],[Actual_Cost]],Details[[#This Row],[Profit]])</f>
        <v>185</v>
      </c>
      <c r="F263">
        <v>2</v>
      </c>
      <c r="G263">
        <f>PRODUCT(Details[[#This Row],[Selling_Cost]],Details[[#This Row],[Quantity]])</f>
        <v>370</v>
      </c>
      <c r="H263" t="s">
        <v>8</v>
      </c>
      <c r="I263" t="s">
        <v>48</v>
      </c>
      <c r="J263" t="s">
        <v>10</v>
      </c>
      <c r="K263" t="s">
        <v>661</v>
      </c>
      <c r="L263" t="s">
        <v>567</v>
      </c>
    </row>
    <row r="264" spans="1:12" x14ac:dyDescent="0.3">
      <c r="A264" t="s">
        <v>198</v>
      </c>
      <c r="B264">
        <v>7</v>
      </c>
      <c r="C264">
        <v>0</v>
      </c>
      <c r="D264">
        <v>14</v>
      </c>
      <c r="E264">
        <f>SUM(Details[[#This Row],[Actual_Cost]],Details[[#This Row],[Profit]])</f>
        <v>14</v>
      </c>
      <c r="F264">
        <v>2</v>
      </c>
      <c r="G264">
        <f>PRODUCT(Details[[#This Row],[Selling_Cost]],Details[[#This Row],[Quantity]])</f>
        <v>28</v>
      </c>
      <c r="H264" t="s">
        <v>8</v>
      </c>
      <c r="I264" t="s">
        <v>58</v>
      </c>
      <c r="J264" t="s">
        <v>10</v>
      </c>
      <c r="K264" t="s">
        <v>548</v>
      </c>
      <c r="L264" t="s">
        <v>554</v>
      </c>
    </row>
    <row r="265" spans="1:12" x14ac:dyDescent="0.3">
      <c r="A265" t="s">
        <v>143</v>
      </c>
      <c r="B265">
        <v>12</v>
      </c>
      <c r="C265">
        <v>0</v>
      </c>
      <c r="D265">
        <v>24</v>
      </c>
      <c r="E265">
        <f>SUM(Details[[#This Row],[Actual_Cost]],Details[[#This Row],[Profit]])</f>
        <v>24</v>
      </c>
      <c r="F265">
        <v>2</v>
      </c>
      <c r="G265">
        <f>PRODUCT(Details[[#This Row],[Selling_Cost]],Details[[#This Row],[Quantity]])</f>
        <v>48</v>
      </c>
      <c r="H265" t="s">
        <v>8</v>
      </c>
      <c r="I265" t="s">
        <v>48</v>
      </c>
      <c r="J265" t="s">
        <v>18</v>
      </c>
      <c r="K265" t="s">
        <v>561</v>
      </c>
      <c r="L265" t="s">
        <v>565</v>
      </c>
    </row>
    <row r="266" spans="1:12" x14ac:dyDescent="0.3">
      <c r="A266" t="s">
        <v>214</v>
      </c>
      <c r="B266">
        <v>13</v>
      </c>
      <c r="C266">
        <v>0</v>
      </c>
      <c r="D266">
        <v>26</v>
      </c>
      <c r="E266">
        <f>SUM(Details[[#This Row],[Actual_Cost]],Details[[#This Row],[Profit]])</f>
        <v>26</v>
      </c>
      <c r="F266">
        <v>2</v>
      </c>
      <c r="G266">
        <f>PRODUCT(Details[[#This Row],[Selling_Cost]],Details[[#This Row],[Quantity]])</f>
        <v>52</v>
      </c>
      <c r="H266" t="s">
        <v>8</v>
      </c>
      <c r="I266" t="s">
        <v>48</v>
      </c>
      <c r="J266" t="s">
        <v>10</v>
      </c>
      <c r="K266" t="s">
        <v>543</v>
      </c>
      <c r="L266" t="s">
        <v>544</v>
      </c>
    </row>
    <row r="267" spans="1:12" x14ac:dyDescent="0.3">
      <c r="A267" t="s">
        <v>149</v>
      </c>
      <c r="B267">
        <v>26</v>
      </c>
      <c r="C267">
        <v>0</v>
      </c>
      <c r="D267">
        <v>52</v>
      </c>
      <c r="E267">
        <f>SUM(Details[[#This Row],[Actual_Cost]],Details[[#This Row],[Profit]])</f>
        <v>52</v>
      </c>
      <c r="F267">
        <v>2</v>
      </c>
      <c r="G267">
        <f>PRODUCT(Details[[#This Row],[Selling_Cost]],Details[[#This Row],[Quantity]])</f>
        <v>104</v>
      </c>
      <c r="H267" t="s">
        <v>8</v>
      </c>
      <c r="I267" t="s">
        <v>44</v>
      </c>
      <c r="J267" t="s">
        <v>10</v>
      </c>
      <c r="K267" t="s">
        <v>548</v>
      </c>
      <c r="L267" t="s">
        <v>554</v>
      </c>
    </row>
    <row r="268" spans="1:12" x14ac:dyDescent="0.3">
      <c r="A268" t="s">
        <v>114</v>
      </c>
      <c r="B268">
        <v>27</v>
      </c>
      <c r="C268">
        <v>0</v>
      </c>
      <c r="D268">
        <v>54</v>
      </c>
      <c r="E268">
        <f>SUM(Details[[#This Row],[Actual_Cost]],Details[[#This Row],[Profit]])</f>
        <v>54</v>
      </c>
      <c r="F268">
        <v>2</v>
      </c>
      <c r="G268">
        <f>PRODUCT(Details[[#This Row],[Selling_Cost]],Details[[#This Row],[Quantity]])</f>
        <v>108</v>
      </c>
      <c r="H268" t="s">
        <v>8</v>
      </c>
      <c r="I268" t="s">
        <v>69</v>
      </c>
      <c r="J268" t="s">
        <v>10</v>
      </c>
      <c r="K268" t="s">
        <v>569</v>
      </c>
      <c r="L268" t="s">
        <v>546</v>
      </c>
    </row>
    <row r="269" spans="1:12" x14ac:dyDescent="0.3">
      <c r="A269" t="s">
        <v>216</v>
      </c>
      <c r="B269">
        <v>45</v>
      </c>
      <c r="C269">
        <v>0</v>
      </c>
      <c r="D269">
        <v>90</v>
      </c>
      <c r="E269">
        <f>SUM(Details[[#This Row],[Actual_Cost]],Details[[#This Row],[Profit]])</f>
        <v>90</v>
      </c>
      <c r="F269">
        <v>2</v>
      </c>
      <c r="G269">
        <f>PRODUCT(Details[[#This Row],[Selling_Cost]],Details[[#This Row],[Quantity]])</f>
        <v>180</v>
      </c>
      <c r="H269" t="s">
        <v>8</v>
      </c>
      <c r="I269" t="s">
        <v>29</v>
      </c>
      <c r="J269" t="s">
        <v>18</v>
      </c>
      <c r="K269" t="s">
        <v>548</v>
      </c>
      <c r="L269" t="s">
        <v>567</v>
      </c>
    </row>
    <row r="270" spans="1:12" x14ac:dyDescent="0.3">
      <c r="A270" t="s">
        <v>215</v>
      </c>
      <c r="B270">
        <v>45</v>
      </c>
      <c r="C270">
        <v>0</v>
      </c>
      <c r="D270">
        <v>90</v>
      </c>
      <c r="E270">
        <f>SUM(Details[[#This Row],[Actual_Cost]],Details[[#This Row],[Profit]])</f>
        <v>90</v>
      </c>
      <c r="F270">
        <v>2</v>
      </c>
      <c r="G270">
        <f>PRODUCT(Details[[#This Row],[Selling_Cost]],Details[[#This Row],[Quantity]])</f>
        <v>180</v>
      </c>
      <c r="H270" t="s">
        <v>8</v>
      </c>
      <c r="I270" t="s">
        <v>46</v>
      </c>
      <c r="J270" t="s">
        <v>10</v>
      </c>
      <c r="K270" t="s">
        <v>632</v>
      </c>
      <c r="L270" t="s">
        <v>583</v>
      </c>
    </row>
    <row r="271" spans="1:12" x14ac:dyDescent="0.3">
      <c r="A271" t="s">
        <v>217</v>
      </c>
      <c r="B271">
        <v>46</v>
      </c>
      <c r="C271">
        <v>0</v>
      </c>
      <c r="D271">
        <v>92</v>
      </c>
      <c r="E271">
        <f>SUM(Details[[#This Row],[Actual_Cost]],Details[[#This Row],[Profit]])</f>
        <v>92</v>
      </c>
      <c r="F271">
        <v>2</v>
      </c>
      <c r="G271">
        <f>PRODUCT(Details[[#This Row],[Selling_Cost]],Details[[#This Row],[Quantity]])</f>
        <v>184</v>
      </c>
      <c r="H271" t="s">
        <v>13</v>
      </c>
      <c r="I271" t="s">
        <v>34</v>
      </c>
      <c r="J271" t="s">
        <v>10</v>
      </c>
      <c r="K271" t="s">
        <v>552</v>
      </c>
      <c r="L271" t="s">
        <v>585</v>
      </c>
    </row>
    <row r="272" spans="1:12" x14ac:dyDescent="0.3">
      <c r="A272" t="s">
        <v>43</v>
      </c>
      <c r="B272">
        <v>106</v>
      </c>
      <c r="C272">
        <v>0</v>
      </c>
      <c r="D272">
        <v>212</v>
      </c>
      <c r="E272">
        <f>SUM(Details[[#This Row],[Actual_Cost]],Details[[#This Row],[Profit]])</f>
        <v>212</v>
      </c>
      <c r="F272">
        <v>2</v>
      </c>
      <c r="G272">
        <f>PRODUCT(Details[[#This Row],[Selling_Cost]],Details[[#This Row],[Quantity]])</f>
        <v>424</v>
      </c>
      <c r="H272" t="s">
        <v>13</v>
      </c>
      <c r="I272" t="s">
        <v>14</v>
      </c>
      <c r="J272" t="s">
        <v>125</v>
      </c>
      <c r="K272" t="s">
        <v>548</v>
      </c>
      <c r="L272" t="s">
        <v>554</v>
      </c>
    </row>
    <row r="273" spans="1:12" x14ac:dyDescent="0.3">
      <c r="A273" t="s">
        <v>218</v>
      </c>
      <c r="B273">
        <v>179</v>
      </c>
      <c r="C273">
        <v>0</v>
      </c>
      <c r="D273">
        <v>358</v>
      </c>
      <c r="E273">
        <f>SUM(Details[[#This Row],[Actual_Cost]],Details[[#This Row],[Profit]])</f>
        <v>358</v>
      </c>
      <c r="F273">
        <v>2</v>
      </c>
      <c r="G273">
        <f>PRODUCT(Details[[#This Row],[Selling_Cost]],Details[[#This Row],[Quantity]])</f>
        <v>716</v>
      </c>
      <c r="H273" t="s">
        <v>8</v>
      </c>
      <c r="I273" t="s">
        <v>9</v>
      </c>
      <c r="J273" t="s">
        <v>42</v>
      </c>
      <c r="K273" t="s">
        <v>548</v>
      </c>
      <c r="L273" t="s">
        <v>541</v>
      </c>
    </row>
    <row r="274" spans="1:12" x14ac:dyDescent="0.3">
      <c r="A274" t="s">
        <v>219</v>
      </c>
      <c r="B274">
        <v>12</v>
      </c>
      <c r="C274">
        <v>1</v>
      </c>
      <c r="D274">
        <v>24</v>
      </c>
      <c r="E274">
        <f>SUM(Details[[#This Row],[Actual_Cost]],Details[[#This Row],[Profit]])</f>
        <v>25</v>
      </c>
      <c r="F274">
        <v>2</v>
      </c>
      <c r="G274">
        <f>PRODUCT(Details[[#This Row],[Selling_Cost]],Details[[#This Row],[Quantity]])</f>
        <v>50</v>
      </c>
      <c r="H274" t="s">
        <v>8</v>
      </c>
      <c r="I274" t="s">
        <v>48</v>
      </c>
      <c r="J274" t="s">
        <v>10</v>
      </c>
      <c r="K274" t="s">
        <v>552</v>
      </c>
      <c r="L274" t="s">
        <v>546</v>
      </c>
    </row>
    <row r="275" spans="1:12" x14ac:dyDescent="0.3">
      <c r="A275" t="s">
        <v>25</v>
      </c>
      <c r="B275">
        <v>12</v>
      </c>
      <c r="C275">
        <v>1</v>
      </c>
      <c r="D275">
        <v>24</v>
      </c>
      <c r="E275">
        <f>SUM(Details[[#This Row],[Actual_Cost]],Details[[#This Row],[Profit]])</f>
        <v>25</v>
      </c>
      <c r="F275">
        <v>2</v>
      </c>
      <c r="G275">
        <f>PRODUCT(Details[[#This Row],[Selling_Cost]],Details[[#This Row],[Quantity]])</f>
        <v>50</v>
      </c>
      <c r="H275" t="s">
        <v>8</v>
      </c>
      <c r="I275" t="s">
        <v>48</v>
      </c>
      <c r="J275" t="s">
        <v>10</v>
      </c>
      <c r="K275" t="s">
        <v>552</v>
      </c>
      <c r="L275" t="s">
        <v>565</v>
      </c>
    </row>
    <row r="276" spans="1:12" x14ac:dyDescent="0.3">
      <c r="A276" t="s">
        <v>84</v>
      </c>
      <c r="B276">
        <v>17</v>
      </c>
      <c r="C276">
        <v>1</v>
      </c>
      <c r="D276">
        <v>34</v>
      </c>
      <c r="E276">
        <f>SUM(Details[[#This Row],[Actual_Cost]],Details[[#This Row],[Profit]])</f>
        <v>35</v>
      </c>
      <c r="F276">
        <v>2</v>
      </c>
      <c r="G276">
        <f>PRODUCT(Details[[#This Row],[Selling_Cost]],Details[[#This Row],[Quantity]])</f>
        <v>70</v>
      </c>
      <c r="H276" t="s">
        <v>8</v>
      </c>
      <c r="I276" t="s">
        <v>58</v>
      </c>
      <c r="J276" t="s">
        <v>27</v>
      </c>
      <c r="K276" t="s">
        <v>641</v>
      </c>
      <c r="L276" t="s">
        <v>541</v>
      </c>
    </row>
    <row r="277" spans="1:12" x14ac:dyDescent="0.3">
      <c r="A277" t="s">
        <v>85</v>
      </c>
      <c r="B277">
        <v>24</v>
      </c>
      <c r="C277">
        <v>1</v>
      </c>
      <c r="D277">
        <v>48</v>
      </c>
      <c r="E277">
        <f>SUM(Details[[#This Row],[Actual_Cost]],Details[[#This Row],[Profit]])</f>
        <v>49</v>
      </c>
      <c r="F277">
        <v>2</v>
      </c>
      <c r="G277">
        <f>PRODUCT(Details[[#This Row],[Selling_Cost]],Details[[#This Row],[Quantity]])</f>
        <v>98</v>
      </c>
      <c r="H277" t="s">
        <v>8</v>
      </c>
      <c r="I277" t="s">
        <v>48</v>
      </c>
      <c r="J277" t="s">
        <v>18</v>
      </c>
      <c r="K277" t="s">
        <v>661</v>
      </c>
      <c r="L277" t="s">
        <v>624</v>
      </c>
    </row>
    <row r="278" spans="1:12" x14ac:dyDescent="0.3">
      <c r="A278" t="s">
        <v>124</v>
      </c>
      <c r="B278">
        <v>24</v>
      </c>
      <c r="C278">
        <v>1</v>
      </c>
      <c r="D278">
        <v>48</v>
      </c>
      <c r="E278">
        <f>SUM(Details[[#This Row],[Actual_Cost]],Details[[#This Row],[Profit]])</f>
        <v>49</v>
      </c>
      <c r="F278">
        <v>2</v>
      </c>
      <c r="G278">
        <f>PRODUCT(Details[[#This Row],[Selling_Cost]],Details[[#This Row],[Quantity]])</f>
        <v>98</v>
      </c>
      <c r="H278" t="s">
        <v>8</v>
      </c>
      <c r="I278" t="s">
        <v>48</v>
      </c>
      <c r="J278" t="s">
        <v>10</v>
      </c>
      <c r="K278" t="s">
        <v>561</v>
      </c>
      <c r="L278" t="s">
        <v>567</v>
      </c>
    </row>
    <row r="279" spans="1:12" x14ac:dyDescent="0.3">
      <c r="A279" t="s">
        <v>155</v>
      </c>
      <c r="B279">
        <v>31</v>
      </c>
      <c r="C279">
        <v>1</v>
      </c>
      <c r="D279">
        <v>62</v>
      </c>
      <c r="E279">
        <f>SUM(Details[[#This Row],[Actual_Cost]],Details[[#This Row],[Profit]])</f>
        <v>63</v>
      </c>
      <c r="F279">
        <v>2</v>
      </c>
      <c r="G279">
        <f>PRODUCT(Details[[#This Row],[Selling_Cost]],Details[[#This Row],[Quantity]])</f>
        <v>126</v>
      </c>
      <c r="H279" t="s">
        <v>8</v>
      </c>
      <c r="I279" t="s">
        <v>48</v>
      </c>
      <c r="J279" t="s">
        <v>18</v>
      </c>
      <c r="K279" t="s">
        <v>552</v>
      </c>
      <c r="L279" t="s">
        <v>583</v>
      </c>
    </row>
    <row r="280" spans="1:12" x14ac:dyDescent="0.3">
      <c r="A280" t="s">
        <v>220</v>
      </c>
      <c r="B280">
        <v>32</v>
      </c>
      <c r="C280">
        <v>1</v>
      </c>
      <c r="D280">
        <v>64</v>
      </c>
      <c r="E280">
        <f>SUM(Details[[#This Row],[Actual_Cost]],Details[[#This Row],[Profit]])</f>
        <v>65</v>
      </c>
      <c r="F280">
        <v>2</v>
      </c>
      <c r="G280">
        <f>PRODUCT(Details[[#This Row],[Selling_Cost]],Details[[#This Row],[Quantity]])</f>
        <v>130</v>
      </c>
      <c r="H280" t="s">
        <v>8</v>
      </c>
      <c r="I280" t="s">
        <v>29</v>
      </c>
      <c r="J280" t="s">
        <v>10</v>
      </c>
      <c r="K280" t="s">
        <v>711</v>
      </c>
      <c r="L280" t="s">
        <v>544</v>
      </c>
    </row>
    <row r="281" spans="1:12" x14ac:dyDescent="0.3">
      <c r="A281" t="s">
        <v>221</v>
      </c>
      <c r="B281">
        <v>33</v>
      </c>
      <c r="C281">
        <v>1</v>
      </c>
      <c r="D281">
        <v>66</v>
      </c>
      <c r="E281">
        <f>SUM(Details[[#This Row],[Actual_Cost]],Details[[#This Row],[Profit]])</f>
        <v>67</v>
      </c>
      <c r="F281">
        <v>2</v>
      </c>
      <c r="G281">
        <f>PRODUCT(Details[[#This Row],[Selling_Cost]],Details[[#This Row],[Quantity]])</f>
        <v>134</v>
      </c>
      <c r="H281" t="s">
        <v>8</v>
      </c>
      <c r="I281" t="s">
        <v>61</v>
      </c>
      <c r="J281" t="s">
        <v>10</v>
      </c>
      <c r="K281" t="s">
        <v>543</v>
      </c>
      <c r="L281" t="s">
        <v>550</v>
      </c>
    </row>
    <row r="282" spans="1:12" x14ac:dyDescent="0.3">
      <c r="A282" t="s">
        <v>99</v>
      </c>
      <c r="B282">
        <v>47</v>
      </c>
      <c r="C282">
        <v>1</v>
      </c>
      <c r="D282">
        <v>94</v>
      </c>
      <c r="E282">
        <f>SUM(Details[[#This Row],[Actual_Cost]],Details[[#This Row],[Profit]])</f>
        <v>95</v>
      </c>
      <c r="F282">
        <v>2</v>
      </c>
      <c r="G282">
        <f>PRODUCT(Details[[#This Row],[Selling_Cost]],Details[[#This Row],[Quantity]])</f>
        <v>190</v>
      </c>
      <c r="H282" t="s">
        <v>8</v>
      </c>
      <c r="I282" t="s">
        <v>29</v>
      </c>
      <c r="J282" t="s">
        <v>10</v>
      </c>
      <c r="K282" t="s">
        <v>543</v>
      </c>
      <c r="L282" t="s">
        <v>544</v>
      </c>
    </row>
    <row r="283" spans="1:12" x14ac:dyDescent="0.3">
      <c r="A283" t="s">
        <v>222</v>
      </c>
      <c r="B283">
        <v>54</v>
      </c>
      <c r="C283">
        <v>1</v>
      </c>
      <c r="D283">
        <v>108</v>
      </c>
      <c r="E283">
        <f>SUM(Details[[#This Row],[Actual_Cost]],Details[[#This Row],[Profit]])</f>
        <v>109</v>
      </c>
      <c r="F283">
        <v>2</v>
      </c>
      <c r="G283">
        <f>PRODUCT(Details[[#This Row],[Selling_Cost]],Details[[#This Row],[Quantity]])</f>
        <v>218</v>
      </c>
      <c r="H283" t="s">
        <v>8</v>
      </c>
      <c r="I283" t="s">
        <v>9</v>
      </c>
      <c r="J283" t="s">
        <v>18</v>
      </c>
      <c r="K283" t="s">
        <v>581</v>
      </c>
      <c r="L283" t="s">
        <v>563</v>
      </c>
    </row>
    <row r="284" spans="1:12" x14ac:dyDescent="0.3">
      <c r="A284" t="s">
        <v>223</v>
      </c>
      <c r="B284">
        <v>61</v>
      </c>
      <c r="C284">
        <v>1</v>
      </c>
      <c r="D284">
        <v>122</v>
      </c>
      <c r="E284">
        <f>SUM(Details[[#This Row],[Actual_Cost]],Details[[#This Row],[Profit]])</f>
        <v>123</v>
      </c>
      <c r="F284">
        <v>2</v>
      </c>
      <c r="G284">
        <f>PRODUCT(Details[[#This Row],[Selling_Cost]],Details[[#This Row],[Quantity]])</f>
        <v>246</v>
      </c>
      <c r="H284" t="s">
        <v>16</v>
      </c>
      <c r="I284" t="s">
        <v>32</v>
      </c>
      <c r="J284" t="s">
        <v>10</v>
      </c>
      <c r="K284" t="s">
        <v>581</v>
      </c>
      <c r="L284" t="s">
        <v>546</v>
      </c>
    </row>
    <row r="285" spans="1:12" x14ac:dyDescent="0.3">
      <c r="A285" t="s">
        <v>214</v>
      </c>
      <c r="B285">
        <v>8</v>
      </c>
      <c r="C285">
        <v>2</v>
      </c>
      <c r="D285">
        <v>16</v>
      </c>
      <c r="E285">
        <f>SUM(Details[[#This Row],[Actual_Cost]],Details[[#This Row],[Profit]])</f>
        <v>18</v>
      </c>
      <c r="F285">
        <v>2</v>
      </c>
      <c r="G285">
        <f>PRODUCT(Details[[#This Row],[Selling_Cost]],Details[[#This Row],[Quantity]])</f>
        <v>36</v>
      </c>
      <c r="H285" t="s">
        <v>8</v>
      </c>
      <c r="I285" t="s">
        <v>58</v>
      </c>
      <c r="J285" t="s">
        <v>18</v>
      </c>
      <c r="K285" t="s">
        <v>543</v>
      </c>
      <c r="L285" t="s">
        <v>544</v>
      </c>
    </row>
    <row r="286" spans="1:12" x14ac:dyDescent="0.3">
      <c r="A286" t="s">
        <v>224</v>
      </c>
      <c r="B286">
        <v>10</v>
      </c>
      <c r="C286">
        <v>2</v>
      </c>
      <c r="D286">
        <v>20</v>
      </c>
      <c r="E286">
        <f>SUM(Details[[#This Row],[Actual_Cost]],Details[[#This Row],[Profit]])</f>
        <v>22</v>
      </c>
      <c r="F286">
        <v>2</v>
      </c>
      <c r="G286">
        <f>PRODUCT(Details[[#This Row],[Selling_Cost]],Details[[#This Row],[Quantity]])</f>
        <v>44</v>
      </c>
      <c r="H286" t="s">
        <v>8</v>
      </c>
      <c r="I286" t="s">
        <v>48</v>
      </c>
      <c r="J286" t="s">
        <v>10</v>
      </c>
      <c r="K286" t="s">
        <v>596</v>
      </c>
      <c r="L286" t="s">
        <v>567</v>
      </c>
    </row>
    <row r="287" spans="1:12" x14ac:dyDescent="0.3">
      <c r="A287" t="s">
        <v>111</v>
      </c>
      <c r="B287">
        <v>10</v>
      </c>
      <c r="C287">
        <v>2</v>
      </c>
      <c r="D287">
        <v>20</v>
      </c>
      <c r="E287">
        <f>SUM(Details[[#This Row],[Actual_Cost]],Details[[#This Row],[Profit]])</f>
        <v>22</v>
      </c>
      <c r="F287">
        <v>2</v>
      </c>
      <c r="G287">
        <f>PRODUCT(Details[[#This Row],[Selling_Cost]],Details[[#This Row],[Quantity]])</f>
        <v>44</v>
      </c>
      <c r="H287" t="s">
        <v>8</v>
      </c>
      <c r="I287" t="s">
        <v>58</v>
      </c>
      <c r="J287" t="s">
        <v>10</v>
      </c>
      <c r="K287" t="s">
        <v>548</v>
      </c>
      <c r="L287" t="s">
        <v>567</v>
      </c>
    </row>
    <row r="288" spans="1:12" x14ac:dyDescent="0.3">
      <c r="A288" t="s">
        <v>225</v>
      </c>
      <c r="B288">
        <v>12</v>
      </c>
      <c r="C288">
        <v>2</v>
      </c>
      <c r="D288">
        <v>24</v>
      </c>
      <c r="E288">
        <f>SUM(Details[[#This Row],[Actual_Cost]],Details[[#This Row],[Profit]])</f>
        <v>26</v>
      </c>
      <c r="F288">
        <v>2</v>
      </c>
      <c r="G288">
        <f>PRODUCT(Details[[#This Row],[Selling_Cost]],Details[[#This Row],[Quantity]])</f>
        <v>52</v>
      </c>
      <c r="H288" t="s">
        <v>8</v>
      </c>
      <c r="I288" t="s">
        <v>58</v>
      </c>
      <c r="J288" t="s">
        <v>27</v>
      </c>
      <c r="K288" t="s">
        <v>548</v>
      </c>
      <c r="L288" t="s">
        <v>550</v>
      </c>
    </row>
    <row r="289" spans="1:12" x14ac:dyDescent="0.3">
      <c r="A289" t="s">
        <v>227</v>
      </c>
      <c r="B289">
        <v>17</v>
      </c>
      <c r="C289">
        <v>2</v>
      </c>
      <c r="D289">
        <v>34</v>
      </c>
      <c r="E289">
        <f>SUM(Details[[#This Row],[Actual_Cost]],Details[[#This Row],[Profit]])</f>
        <v>36</v>
      </c>
      <c r="F289">
        <v>2</v>
      </c>
      <c r="G289">
        <f>PRODUCT(Details[[#This Row],[Selling_Cost]],Details[[#This Row],[Quantity]])</f>
        <v>72</v>
      </c>
      <c r="H289" t="s">
        <v>8</v>
      </c>
      <c r="I289" t="s">
        <v>58</v>
      </c>
      <c r="J289" t="s">
        <v>42</v>
      </c>
      <c r="K289" t="s">
        <v>539</v>
      </c>
      <c r="L289" t="s">
        <v>546</v>
      </c>
    </row>
    <row r="290" spans="1:12" x14ac:dyDescent="0.3">
      <c r="A290" t="s">
        <v>226</v>
      </c>
      <c r="B290">
        <v>17</v>
      </c>
      <c r="C290">
        <v>2</v>
      </c>
      <c r="D290">
        <v>34</v>
      </c>
      <c r="E290">
        <f>SUM(Details[[#This Row],[Actual_Cost]],Details[[#This Row],[Profit]])</f>
        <v>36</v>
      </c>
      <c r="F290">
        <v>2</v>
      </c>
      <c r="G290">
        <f>PRODUCT(Details[[#This Row],[Selling_Cost]],Details[[#This Row],[Quantity]])</f>
        <v>72</v>
      </c>
      <c r="H290" t="s">
        <v>8</v>
      </c>
      <c r="I290" t="s">
        <v>58</v>
      </c>
      <c r="J290" t="s">
        <v>18</v>
      </c>
      <c r="K290" t="s">
        <v>552</v>
      </c>
      <c r="L290" t="s">
        <v>544</v>
      </c>
    </row>
    <row r="291" spans="1:12" x14ac:dyDescent="0.3">
      <c r="A291" t="s">
        <v>228</v>
      </c>
      <c r="B291">
        <v>23</v>
      </c>
      <c r="C291">
        <v>2</v>
      </c>
      <c r="D291">
        <v>46</v>
      </c>
      <c r="E291">
        <f>SUM(Details[[#This Row],[Actual_Cost]],Details[[#This Row],[Profit]])</f>
        <v>48</v>
      </c>
      <c r="F291">
        <v>2</v>
      </c>
      <c r="G291">
        <f>PRODUCT(Details[[#This Row],[Selling_Cost]],Details[[#This Row],[Quantity]])</f>
        <v>96</v>
      </c>
      <c r="H291" t="s">
        <v>8</v>
      </c>
      <c r="I291" t="s">
        <v>58</v>
      </c>
      <c r="J291" t="s">
        <v>18</v>
      </c>
      <c r="K291" t="s">
        <v>596</v>
      </c>
      <c r="L291" t="s">
        <v>565</v>
      </c>
    </row>
    <row r="292" spans="1:12" x14ac:dyDescent="0.3">
      <c r="A292" t="s">
        <v>230</v>
      </c>
      <c r="B292">
        <v>25</v>
      </c>
      <c r="C292">
        <v>2</v>
      </c>
      <c r="D292">
        <v>50</v>
      </c>
      <c r="E292">
        <f>SUM(Details[[#This Row],[Actual_Cost]],Details[[#This Row],[Profit]])</f>
        <v>52</v>
      </c>
      <c r="F292">
        <v>2</v>
      </c>
      <c r="G292">
        <f>PRODUCT(Details[[#This Row],[Selling_Cost]],Details[[#This Row],[Quantity]])</f>
        <v>104</v>
      </c>
      <c r="H292" t="s">
        <v>8</v>
      </c>
      <c r="I292" t="s">
        <v>48</v>
      </c>
      <c r="J292" t="s">
        <v>18</v>
      </c>
      <c r="K292" t="s">
        <v>552</v>
      </c>
      <c r="L292" t="s">
        <v>550</v>
      </c>
    </row>
    <row r="293" spans="1:12" x14ac:dyDescent="0.3">
      <c r="A293" t="s">
        <v>229</v>
      </c>
      <c r="B293">
        <v>25</v>
      </c>
      <c r="C293">
        <v>2</v>
      </c>
      <c r="D293">
        <v>50</v>
      </c>
      <c r="E293">
        <f>SUM(Details[[#This Row],[Actual_Cost]],Details[[#This Row],[Profit]])</f>
        <v>52</v>
      </c>
      <c r="F293">
        <v>2</v>
      </c>
      <c r="G293">
        <f>PRODUCT(Details[[#This Row],[Selling_Cost]],Details[[#This Row],[Quantity]])</f>
        <v>104</v>
      </c>
      <c r="H293" t="s">
        <v>8</v>
      </c>
      <c r="I293" t="s">
        <v>48</v>
      </c>
      <c r="J293" t="s">
        <v>42</v>
      </c>
      <c r="K293" t="s">
        <v>605</v>
      </c>
      <c r="L293" t="s">
        <v>541</v>
      </c>
    </row>
    <row r="294" spans="1:12" x14ac:dyDescent="0.3">
      <c r="A294" t="s">
        <v>39</v>
      </c>
      <c r="B294">
        <v>26</v>
      </c>
      <c r="C294">
        <v>2</v>
      </c>
      <c r="D294">
        <v>52</v>
      </c>
      <c r="E294">
        <f>SUM(Details[[#This Row],[Actual_Cost]],Details[[#This Row],[Profit]])</f>
        <v>54</v>
      </c>
      <c r="F294">
        <v>2</v>
      </c>
      <c r="G294">
        <f>PRODUCT(Details[[#This Row],[Selling_Cost]],Details[[#This Row],[Quantity]])</f>
        <v>108</v>
      </c>
      <c r="H294" t="s">
        <v>8</v>
      </c>
      <c r="I294" t="s">
        <v>48</v>
      </c>
      <c r="J294" t="s">
        <v>10</v>
      </c>
      <c r="K294" t="s">
        <v>552</v>
      </c>
      <c r="L294" t="s">
        <v>583</v>
      </c>
    </row>
    <row r="295" spans="1:12" x14ac:dyDescent="0.3">
      <c r="A295" t="s">
        <v>231</v>
      </c>
      <c r="B295">
        <v>27</v>
      </c>
      <c r="C295">
        <v>2</v>
      </c>
      <c r="D295">
        <v>54</v>
      </c>
      <c r="E295">
        <f>SUM(Details[[#This Row],[Actual_Cost]],Details[[#This Row],[Profit]])</f>
        <v>56</v>
      </c>
      <c r="F295">
        <v>2</v>
      </c>
      <c r="G295">
        <f>PRODUCT(Details[[#This Row],[Selling_Cost]],Details[[#This Row],[Quantity]])</f>
        <v>112</v>
      </c>
      <c r="H295" t="s">
        <v>8</v>
      </c>
      <c r="I295" t="s">
        <v>69</v>
      </c>
      <c r="J295" t="s">
        <v>18</v>
      </c>
      <c r="K295" t="s">
        <v>569</v>
      </c>
      <c r="L295" t="s">
        <v>563</v>
      </c>
    </row>
    <row r="296" spans="1:12" x14ac:dyDescent="0.3">
      <c r="A296" t="s">
        <v>99</v>
      </c>
      <c r="B296">
        <v>31</v>
      </c>
      <c r="C296">
        <v>2</v>
      </c>
      <c r="D296">
        <v>62</v>
      </c>
      <c r="E296">
        <f>SUM(Details[[#This Row],[Actual_Cost]],Details[[#This Row],[Profit]])</f>
        <v>64</v>
      </c>
      <c r="F296">
        <v>2</v>
      </c>
      <c r="G296">
        <f>PRODUCT(Details[[#This Row],[Selling_Cost]],Details[[#This Row],[Quantity]])</f>
        <v>128</v>
      </c>
      <c r="H296" t="s">
        <v>8</v>
      </c>
      <c r="I296" t="s">
        <v>48</v>
      </c>
      <c r="J296" t="s">
        <v>10</v>
      </c>
      <c r="K296" t="s">
        <v>543</v>
      </c>
      <c r="L296" t="s">
        <v>544</v>
      </c>
    </row>
    <row r="297" spans="1:12" x14ac:dyDescent="0.3">
      <c r="A297" t="s">
        <v>232</v>
      </c>
      <c r="B297">
        <v>32</v>
      </c>
      <c r="C297">
        <v>2</v>
      </c>
      <c r="D297">
        <v>64</v>
      </c>
      <c r="E297">
        <f>SUM(Details[[#This Row],[Actual_Cost]],Details[[#This Row],[Profit]])</f>
        <v>66</v>
      </c>
      <c r="F297">
        <v>2</v>
      </c>
      <c r="G297">
        <f>PRODUCT(Details[[#This Row],[Selling_Cost]],Details[[#This Row],[Quantity]])</f>
        <v>132</v>
      </c>
      <c r="H297" t="s">
        <v>8</v>
      </c>
      <c r="I297" t="s">
        <v>44</v>
      </c>
      <c r="J297" t="s">
        <v>18</v>
      </c>
      <c r="K297" t="s">
        <v>552</v>
      </c>
      <c r="L297" t="s">
        <v>546</v>
      </c>
    </row>
    <row r="298" spans="1:12" x14ac:dyDescent="0.3">
      <c r="A298" t="s">
        <v>233</v>
      </c>
      <c r="B298">
        <v>39</v>
      </c>
      <c r="C298">
        <v>2</v>
      </c>
      <c r="D298">
        <v>78</v>
      </c>
      <c r="E298">
        <f>SUM(Details[[#This Row],[Actual_Cost]],Details[[#This Row],[Profit]])</f>
        <v>80</v>
      </c>
      <c r="F298">
        <v>2</v>
      </c>
      <c r="G298">
        <f>PRODUCT(Details[[#This Row],[Selling_Cost]],Details[[#This Row],[Quantity]])</f>
        <v>160</v>
      </c>
      <c r="H298" t="s">
        <v>8</v>
      </c>
      <c r="I298" t="s">
        <v>9</v>
      </c>
      <c r="J298" t="s">
        <v>42</v>
      </c>
      <c r="K298" t="s">
        <v>548</v>
      </c>
      <c r="L298" t="s">
        <v>546</v>
      </c>
    </row>
    <row r="299" spans="1:12" x14ac:dyDescent="0.3">
      <c r="A299" t="s">
        <v>112</v>
      </c>
      <c r="B299">
        <v>104</v>
      </c>
      <c r="C299">
        <v>2</v>
      </c>
      <c r="D299">
        <v>208</v>
      </c>
      <c r="E299">
        <f>SUM(Details[[#This Row],[Actual_Cost]],Details[[#This Row],[Profit]])</f>
        <v>210</v>
      </c>
      <c r="F299">
        <v>2</v>
      </c>
      <c r="G299">
        <f>PRODUCT(Details[[#This Row],[Selling_Cost]],Details[[#This Row],[Quantity]])</f>
        <v>420</v>
      </c>
      <c r="H299" t="s">
        <v>16</v>
      </c>
      <c r="I299" t="s">
        <v>32</v>
      </c>
      <c r="J299" t="s">
        <v>10</v>
      </c>
      <c r="K299" t="s">
        <v>548</v>
      </c>
      <c r="L299" t="s">
        <v>563</v>
      </c>
    </row>
    <row r="300" spans="1:12" x14ac:dyDescent="0.3">
      <c r="A300" t="s">
        <v>145</v>
      </c>
      <c r="B300">
        <v>171</v>
      </c>
      <c r="C300">
        <v>2</v>
      </c>
      <c r="D300">
        <v>342</v>
      </c>
      <c r="E300">
        <f>SUM(Details[[#This Row],[Actual_Cost]],Details[[#This Row],[Profit]])</f>
        <v>344</v>
      </c>
      <c r="F300">
        <v>2</v>
      </c>
      <c r="G300">
        <f>PRODUCT(Details[[#This Row],[Selling_Cost]],Details[[#This Row],[Quantity]])</f>
        <v>688</v>
      </c>
      <c r="H300" t="s">
        <v>13</v>
      </c>
      <c r="I300" t="s">
        <v>34</v>
      </c>
      <c r="J300" t="s">
        <v>10</v>
      </c>
      <c r="K300" t="s">
        <v>607</v>
      </c>
      <c r="L300" t="s">
        <v>550</v>
      </c>
    </row>
    <row r="301" spans="1:12" x14ac:dyDescent="0.3">
      <c r="A301" t="s">
        <v>234</v>
      </c>
      <c r="B301">
        <v>13</v>
      </c>
      <c r="C301">
        <v>3</v>
      </c>
      <c r="D301">
        <v>26</v>
      </c>
      <c r="E301">
        <f>SUM(Details[[#This Row],[Actual_Cost]],Details[[#This Row],[Profit]])</f>
        <v>29</v>
      </c>
      <c r="F301">
        <v>2</v>
      </c>
      <c r="G301">
        <f>PRODUCT(Details[[#This Row],[Selling_Cost]],Details[[#This Row],[Quantity]])</f>
        <v>58</v>
      </c>
      <c r="H301" t="s">
        <v>8</v>
      </c>
      <c r="I301" t="s">
        <v>48</v>
      </c>
      <c r="J301" t="s">
        <v>10</v>
      </c>
      <c r="K301" t="s">
        <v>661</v>
      </c>
      <c r="L301" t="s">
        <v>546</v>
      </c>
    </row>
    <row r="302" spans="1:12" x14ac:dyDescent="0.3">
      <c r="A302" t="s">
        <v>235</v>
      </c>
      <c r="B302">
        <v>18</v>
      </c>
      <c r="C302">
        <v>3</v>
      </c>
      <c r="D302">
        <v>36</v>
      </c>
      <c r="E302">
        <f>SUM(Details[[#This Row],[Actual_Cost]],Details[[#This Row],[Profit]])</f>
        <v>39</v>
      </c>
      <c r="F302">
        <v>2</v>
      </c>
      <c r="G302">
        <f>PRODUCT(Details[[#This Row],[Selling_Cost]],Details[[#This Row],[Quantity]])</f>
        <v>78</v>
      </c>
      <c r="H302" t="s">
        <v>8</v>
      </c>
      <c r="I302" t="s">
        <v>48</v>
      </c>
      <c r="J302" t="s">
        <v>42</v>
      </c>
      <c r="K302" t="s">
        <v>610</v>
      </c>
      <c r="L302" t="s">
        <v>541</v>
      </c>
    </row>
    <row r="303" spans="1:12" x14ac:dyDescent="0.3">
      <c r="A303" t="s">
        <v>236</v>
      </c>
      <c r="B303">
        <v>29</v>
      </c>
      <c r="C303">
        <v>3</v>
      </c>
      <c r="D303">
        <v>58</v>
      </c>
      <c r="E303">
        <f>SUM(Details[[#This Row],[Actual_Cost]],Details[[#This Row],[Profit]])</f>
        <v>61</v>
      </c>
      <c r="F303">
        <v>2</v>
      </c>
      <c r="G303">
        <f>PRODUCT(Details[[#This Row],[Selling_Cost]],Details[[#This Row],[Quantity]])</f>
        <v>122</v>
      </c>
      <c r="H303" t="s">
        <v>8</v>
      </c>
      <c r="I303" t="s">
        <v>29</v>
      </c>
      <c r="J303" t="s">
        <v>10</v>
      </c>
      <c r="K303" t="s">
        <v>578</v>
      </c>
      <c r="L303" t="s">
        <v>544</v>
      </c>
    </row>
    <row r="304" spans="1:12" x14ac:dyDescent="0.3">
      <c r="A304" t="s">
        <v>237</v>
      </c>
      <c r="B304">
        <v>50</v>
      </c>
      <c r="C304">
        <v>3</v>
      </c>
      <c r="D304">
        <v>100</v>
      </c>
      <c r="E304">
        <f>SUM(Details[[#This Row],[Actual_Cost]],Details[[#This Row],[Profit]])</f>
        <v>103</v>
      </c>
      <c r="F304">
        <v>2</v>
      </c>
      <c r="G304">
        <f>PRODUCT(Details[[#This Row],[Selling_Cost]],Details[[#This Row],[Quantity]])</f>
        <v>206</v>
      </c>
      <c r="H304" t="s">
        <v>8</v>
      </c>
      <c r="I304" t="s">
        <v>29</v>
      </c>
      <c r="J304" t="s">
        <v>125</v>
      </c>
      <c r="K304" t="s">
        <v>539</v>
      </c>
      <c r="L304" t="s">
        <v>567</v>
      </c>
    </row>
    <row r="305" spans="1:12" x14ac:dyDescent="0.3">
      <c r="A305" t="s">
        <v>111</v>
      </c>
      <c r="B305">
        <v>257</v>
      </c>
      <c r="C305">
        <v>3</v>
      </c>
      <c r="D305">
        <v>514</v>
      </c>
      <c r="E305">
        <f>SUM(Details[[#This Row],[Actual_Cost]],Details[[#This Row],[Profit]])</f>
        <v>517</v>
      </c>
      <c r="F305">
        <v>2</v>
      </c>
      <c r="G305">
        <f>PRODUCT(Details[[#This Row],[Selling_Cost]],Details[[#This Row],[Quantity]])</f>
        <v>1034</v>
      </c>
      <c r="H305" t="s">
        <v>8</v>
      </c>
      <c r="I305" t="s">
        <v>9</v>
      </c>
      <c r="J305" t="s">
        <v>10</v>
      </c>
      <c r="K305" t="s">
        <v>548</v>
      </c>
      <c r="L305" t="s">
        <v>567</v>
      </c>
    </row>
    <row r="306" spans="1:12" x14ac:dyDescent="0.3">
      <c r="A306" t="s">
        <v>212</v>
      </c>
      <c r="B306">
        <v>23</v>
      </c>
      <c r="C306">
        <v>4</v>
      </c>
      <c r="D306">
        <v>46</v>
      </c>
      <c r="E306">
        <f>SUM(Details[[#This Row],[Actual_Cost]],Details[[#This Row],[Profit]])</f>
        <v>50</v>
      </c>
      <c r="F306">
        <v>2</v>
      </c>
      <c r="G306">
        <f>PRODUCT(Details[[#This Row],[Selling_Cost]],Details[[#This Row],[Quantity]])</f>
        <v>100</v>
      </c>
      <c r="H306" t="s">
        <v>8</v>
      </c>
      <c r="I306" t="s">
        <v>58</v>
      </c>
      <c r="J306" t="s">
        <v>10</v>
      </c>
      <c r="K306" t="s">
        <v>548</v>
      </c>
      <c r="L306" t="s">
        <v>550</v>
      </c>
    </row>
    <row r="307" spans="1:12" x14ac:dyDescent="0.3">
      <c r="A307" t="s">
        <v>175</v>
      </c>
      <c r="B307">
        <v>26</v>
      </c>
      <c r="C307">
        <v>4</v>
      </c>
      <c r="D307">
        <v>52</v>
      </c>
      <c r="E307">
        <f>SUM(Details[[#This Row],[Actual_Cost]],Details[[#This Row],[Profit]])</f>
        <v>56</v>
      </c>
      <c r="F307">
        <v>2</v>
      </c>
      <c r="G307">
        <f>PRODUCT(Details[[#This Row],[Selling_Cost]],Details[[#This Row],[Quantity]])</f>
        <v>112</v>
      </c>
      <c r="H307" t="s">
        <v>8</v>
      </c>
      <c r="I307" t="s">
        <v>9</v>
      </c>
      <c r="J307" t="s">
        <v>18</v>
      </c>
      <c r="K307" t="s">
        <v>592</v>
      </c>
      <c r="L307" t="s">
        <v>554</v>
      </c>
    </row>
    <row r="308" spans="1:12" x14ac:dyDescent="0.3">
      <c r="A308" t="s">
        <v>234</v>
      </c>
      <c r="B308">
        <v>55</v>
      </c>
      <c r="C308">
        <v>4</v>
      </c>
      <c r="D308">
        <v>110</v>
      </c>
      <c r="E308">
        <f>SUM(Details[[#This Row],[Actual_Cost]],Details[[#This Row],[Profit]])</f>
        <v>114</v>
      </c>
      <c r="F308">
        <v>2</v>
      </c>
      <c r="G308">
        <f>PRODUCT(Details[[#This Row],[Selling_Cost]],Details[[#This Row],[Quantity]])</f>
        <v>228</v>
      </c>
      <c r="H308" t="s">
        <v>8</v>
      </c>
      <c r="I308" t="s">
        <v>29</v>
      </c>
      <c r="J308" t="s">
        <v>10</v>
      </c>
      <c r="K308" t="s">
        <v>661</v>
      </c>
      <c r="L308" t="s">
        <v>546</v>
      </c>
    </row>
    <row r="309" spans="1:12" x14ac:dyDescent="0.3">
      <c r="A309" t="s">
        <v>238</v>
      </c>
      <c r="B309">
        <v>87</v>
      </c>
      <c r="C309">
        <v>4</v>
      </c>
      <c r="D309">
        <v>174</v>
      </c>
      <c r="E309">
        <f>SUM(Details[[#This Row],[Actual_Cost]],Details[[#This Row],[Profit]])</f>
        <v>178</v>
      </c>
      <c r="F309">
        <v>2</v>
      </c>
      <c r="G309">
        <f>PRODUCT(Details[[#This Row],[Selling_Cost]],Details[[#This Row],[Quantity]])</f>
        <v>356</v>
      </c>
      <c r="H309" t="s">
        <v>8</v>
      </c>
      <c r="I309" t="s">
        <v>61</v>
      </c>
      <c r="J309" t="s">
        <v>10</v>
      </c>
      <c r="K309" t="s">
        <v>610</v>
      </c>
      <c r="L309" t="s">
        <v>565</v>
      </c>
    </row>
    <row r="310" spans="1:12" x14ac:dyDescent="0.3">
      <c r="A310" t="s">
        <v>239</v>
      </c>
      <c r="B310">
        <v>219</v>
      </c>
      <c r="C310">
        <v>4</v>
      </c>
      <c r="D310">
        <v>438</v>
      </c>
      <c r="E310">
        <f>SUM(Details[[#This Row],[Actual_Cost]],Details[[#This Row],[Profit]])</f>
        <v>442</v>
      </c>
      <c r="F310">
        <v>2</v>
      </c>
      <c r="G310">
        <f>PRODUCT(Details[[#This Row],[Selling_Cost]],Details[[#This Row],[Quantity]])</f>
        <v>884</v>
      </c>
      <c r="H310" t="s">
        <v>8</v>
      </c>
      <c r="I310" t="s">
        <v>9</v>
      </c>
      <c r="J310" t="s">
        <v>10</v>
      </c>
      <c r="K310" t="s">
        <v>552</v>
      </c>
      <c r="L310" t="s">
        <v>541</v>
      </c>
    </row>
    <row r="311" spans="1:12" x14ac:dyDescent="0.3">
      <c r="A311" t="s">
        <v>240</v>
      </c>
      <c r="B311">
        <v>11</v>
      </c>
      <c r="C311">
        <v>5</v>
      </c>
      <c r="D311">
        <v>22</v>
      </c>
      <c r="E311">
        <f>SUM(Details[[#This Row],[Actual_Cost]],Details[[#This Row],[Profit]])</f>
        <v>27</v>
      </c>
      <c r="F311">
        <v>2</v>
      </c>
      <c r="G311">
        <f>PRODUCT(Details[[#This Row],[Selling_Cost]],Details[[#This Row],[Quantity]])</f>
        <v>54</v>
      </c>
      <c r="H311" t="s">
        <v>8</v>
      </c>
      <c r="I311" t="s">
        <v>48</v>
      </c>
      <c r="J311" t="s">
        <v>18</v>
      </c>
      <c r="K311" t="s">
        <v>711</v>
      </c>
      <c r="L311" t="s">
        <v>541</v>
      </c>
    </row>
    <row r="312" spans="1:12" x14ac:dyDescent="0.3">
      <c r="A312" t="s">
        <v>241</v>
      </c>
      <c r="B312">
        <v>13</v>
      </c>
      <c r="C312">
        <v>5</v>
      </c>
      <c r="D312">
        <v>26</v>
      </c>
      <c r="E312">
        <f>SUM(Details[[#This Row],[Actual_Cost]],Details[[#This Row],[Profit]])</f>
        <v>31</v>
      </c>
      <c r="F312">
        <v>2</v>
      </c>
      <c r="G312">
        <f>PRODUCT(Details[[#This Row],[Selling_Cost]],Details[[#This Row],[Quantity]])</f>
        <v>62</v>
      </c>
      <c r="H312" t="s">
        <v>8</v>
      </c>
      <c r="I312" t="s">
        <v>48</v>
      </c>
      <c r="J312" t="s">
        <v>18</v>
      </c>
      <c r="K312" t="s">
        <v>552</v>
      </c>
      <c r="L312" t="s">
        <v>544</v>
      </c>
    </row>
    <row r="313" spans="1:12" x14ac:dyDescent="0.3">
      <c r="A313" t="s">
        <v>78</v>
      </c>
      <c r="B313">
        <v>27</v>
      </c>
      <c r="C313">
        <v>5</v>
      </c>
      <c r="D313">
        <v>54</v>
      </c>
      <c r="E313">
        <f>SUM(Details[[#This Row],[Actual_Cost]],Details[[#This Row],[Profit]])</f>
        <v>59</v>
      </c>
      <c r="F313">
        <v>2</v>
      </c>
      <c r="G313">
        <f>PRODUCT(Details[[#This Row],[Selling_Cost]],Details[[#This Row],[Quantity]])</f>
        <v>118</v>
      </c>
      <c r="H313" t="s">
        <v>8</v>
      </c>
      <c r="I313" t="s">
        <v>58</v>
      </c>
      <c r="J313" t="s">
        <v>10</v>
      </c>
      <c r="K313" t="s">
        <v>548</v>
      </c>
      <c r="L313" t="s">
        <v>567</v>
      </c>
    </row>
    <row r="314" spans="1:12" x14ac:dyDescent="0.3">
      <c r="A314" t="s">
        <v>121</v>
      </c>
      <c r="B314">
        <v>30</v>
      </c>
      <c r="C314">
        <v>5</v>
      </c>
      <c r="D314">
        <v>60</v>
      </c>
      <c r="E314">
        <f>SUM(Details[[#This Row],[Actual_Cost]],Details[[#This Row],[Profit]])</f>
        <v>65</v>
      </c>
      <c r="F314">
        <v>2</v>
      </c>
      <c r="G314">
        <f>PRODUCT(Details[[#This Row],[Selling_Cost]],Details[[#This Row],[Quantity]])</f>
        <v>130</v>
      </c>
      <c r="H314" t="s">
        <v>8</v>
      </c>
      <c r="I314" t="s">
        <v>44</v>
      </c>
      <c r="J314" t="s">
        <v>18</v>
      </c>
      <c r="K314" t="s">
        <v>632</v>
      </c>
      <c r="L314" t="s">
        <v>546</v>
      </c>
    </row>
    <row r="315" spans="1:12" x14ac:dyDescent="0.3">
      <c r="A315" t="s">
        <v>60</v>
      </c>
      <c r="B315">
        <v>95</v>
      </c>
      <c r="C315">
        <v>5</v>
      </c>
      <c r="D315">
        <v>190</v>
      </c>
      <c r="E315">
        <f>SUM(Details[[#This Row],[Actual_Cost]],Details[[#This Row],[Profit]])</f>
        <v>195</v>
      </c>
      <c r="F315">
        <v>2</v>
      </c>
      <c r="G315">
        <f>PRODUCT(Details[[#This Row],[Selling_Cost]],Details[[#This Row],[Quantity]])</f>
        <v>390</v>
      </c>
      <c r="H315" t="s">
        <v>8</v>
      </c>
      <c r="I315" t="s">
        <v>29</v>
      </c>
      <c r="J315" t="s">
        <v>10</v>
      </c>
      <c r="K315" t="s">
        <v>548</v>
      </c>
      <c r="L315" t="s">
        <v>563</v>
      </c>
    </row>
    <row r="316" spans="1:12" x14ac:dyDescent="0.3">
      <c r="A316" t="s">
        <v>242</v>
      </c>
      <c r="B316">
        <v>95</v>
      </c>
      <c r="C316">
        <v>5</v>
      </c>
      <c r="D316">
        <v>190</v>
      </c>
      <c r="E316">
        <f>SUM(Details[[#This Row],[Actual_Cost]],Details[[#This Row],[Profit]])</f>
        <v>195</v>
      </c>
      <c r="F316">
        <v>2</v>
      </c>
      <c r="G316">
        <f>PRODUCT(Details[[#This Row],[Selling_Cost]],Details[[#This Row],[Quantity]])</f>
        <v>390</v>
      </c>
      <c r="H316" t="s">
        <v>8</v>
      </c>
      <c r="I316" t="s">
        <v>29</v>
      </c>
      <c r="J316" t="s">
        <v>18</v>
      </c>
      <c r="K316" t="s">
        <v>539</v>
      </c>
      <c r="L316" t="s">
        <v>541</v>
      </c>
    </row>
    <row r="317" spans="1:12" x14ac:dyDescent="0.3">
      <c r="A317" t="s">
        <v>38</v>
      </c>
      <c r="B317">
        <v>230</v>
      </c>
      <c r="C317">
        <v>5</v>
      </c>
      <c r="D317">
        <v>460</v>
      </c>
      <c r="E317">
        <f>SUM(Details[[#This Row],[Actual_Cost]],Details[[#This Row],[Profit]])</f>
        <v>465</v>
      </c>
      <c r="F317">
        <v>2</v>
      </c>
      <c r="G317">
        <f>PRODUCT(Details[[#This Row],[Selling_Cost]],Details[[#This Row],[Quantity]])</f>
        <v>930</v>
      </c>
      <c r="H317" t="s">
        <v>8</v>
      </c>
      <c r="I317" t="s">
        <v>9</v>
      </c>
      <c r="J317" t="s">
        <v>18</v>
      </c>
      <c r="K317" t="s">
        <v>543</v>
      </c>
      <c r="L317" t="s">
        <v>546</v>
      </c>
    </row>
    <row r="318" spans="1:12" x14ac:dyDescent="0.3">
      <c r="A318" t="s">
        <v>43</v>
      </c>
      <c r="B318">
        <v>534</v>
      </c>
      <c r="C318">
        <v>5</v>
      </c>
      <c r="D318">
        <v>1068</v>
      </c>
      <c r="E318">
        <f>SUM(Details[[#This Row],[Actual_Cost]],Details[[#This Row],[Profit]])</f>
        <v>1073</v>
      </c>
      <c r="F318">
        <v>2</v>
      </c>
      <c r="G318">
        <f>PRODUCT(Details[[#This Row],[Selling_Cost]],Details[[#This Row],[Quantity]])</f>
        <v>2146</v>
      </c>
      <c r="H318" t="s">
        <v>13</v>
      </c>
      <c r="I318" t="s">
        <v>34</v>
      </c>
      <c r="J318" t="s">
        <v>42</v>
      </c>
      <c r="K318" t="s">
        <v>548</v>
      </c>
      <c r="L318" t="s">
        <v>554</v>
      </c>
    </row>
    <row r="319" spans="1:12" x14ac:dyDescent="0.3">
      <c r="A319" t="s">
        <v>243</v>
      </c>
      <c r="B319">
        <v>15</v>
      </c>
      <c r="C319">
        <v>6</v>
      </c>
      <c r="D319">
        <v>30</v>
      </c>
      <c r="E319">
        <f>SUM(Details[[#This Row],[Actual_Cost]],Details[[#This Row],[Profit]])</f>
        <v>36</v>
      </c>
      <c r="F319">
        <v>2</v>
      </c>
      <c r="G319">
        <f>PRODUCT(Details[[#This Row],[Selling_Cost]],Details[[#This Row],[Quantity]])</f>
        <v>72</v>
      </c>
      <c r="H319" t="s">
        <v>8</v>
      </c>
      <c r="I319" t="s">
        <v>48</v>
      </c>
      <c r="J319" t="s">
        <v>10</v>
      </c>
      <c r="K319" t="s">
        <v>578</v>
      </c>
      <c r="L319" t="s">
        <v>541</v>
      </c>
    </row>
    <row r="320" spans="1:12" x14ac:dyDescent="0.3">
      <c r="A320" t="s">
        <v>127</v>
      </c>
      <c r="B320">
        <v>143</v>
      </c>
      <c r="C320">
        <v>6</v>
      </c>
      <c r="D320">
        <v>286</v>
      </c>
      <c r="E320">
        <f>SUM(Details[[#This Row],[Actual_Cost]],Details[[#This Row],[Profit]])</f>
        <v>292</v>
      </c>
      <c r="F320">
        <v>2</v>
      </c>
      <c r="G320">
        <f>PRODUCT(Details[[#This Row],[Selling_Cost]],Details[[#This Row],[Quantity]])</f>
        <v>584</v>
      </c>
      <c r="H320" t="s">
        <v>13</v>
      </c>
      <c r="I320" t="s">
        <v>55</v>
      </c>
      <c r="J320" t="s">
        <v>18</v>
      </c>
      <c r="K320" t="s">
        <v>578</v>
      </c>
      <c r="L320" t="s">
        <v>541</v>
      </c>
    </row>
    <row r="321" spans="1:12" x14ac:dyDescent="0.3">
      <c r="A321" t="s">
        <v>244</v>
      </c>
      <c r="B321">
        <v>199</v>
      </c>
      <c r="C321">
        <v>6</v>
      </c>
      <c r="D321">
        <v>398</v>
      </c>
      <c r="E321">
        <f>SUM(Details[[#This Row],[Actual_Cost]],Details[[#This Row],[Profit]])</f>
        <v>404</v>
      </c>
      <c r="F321">
        <v>2</v>
      </c>
      <c r="G321">
        <f>PRODUCT(Details[[#This Row],[Selling_Cost]],Details[[#This Row],[Quantity]])</f>
        <v>808</v>
      </c>
      <c r="H321" t="s">
        <v>8</v>
      </c>
      <c r="I321" t="s">
        <v>9</v>
      </c>
      <c r="J321" t="s">
        <v>18</v>
      </c>
      <c r="K321" t="s">
        <v>569</v>
      </c>
      <c r="L321" t="s">
        <v>567</v>
      </c>
    </row>
    <row r="322" spans="1:12" x14ac:dyDescent="0.3">
      <c r="A322" t="s">
        <v>245</v>
      </c>
      <c r="B322">
        <v>268</v>
      </c>
      <c r="C322">
        <v>6</v>
      </c>
      <c r="D322">
        <v>536</v>
      </c>
      <c r="E322">
        <f>SUM(Details[[#This Row],[Actual_Cost]],Details[[#This Row],[Profit]])</f>
        <v>542</v>
      </c>
      <c r="F322">
        <v>2</v>
      </c>
      <c r="G322">
        <f>PRODUCT(Details[[#This Row],[Selling_Cost]],Details[[#This Row],[Quantity]])</f>
        <v>1084</v>
      </c>
      <c r="H322" t="s">
        <v>16</v>
      </c>
      <c r="I322" t="s">
        <v>17</v>
      </c>
      <c r="J322" t="s">
        <v>18</v>
      </c>
      <c r="K322" t="s">
        <v>548</v>
      </c>
      <c r="L322" t="s">
        <v>550</v>
      </c>
    </row>
    <row r="323" spans="1:12" x14ac:dyDescent="0.3">
      <c r="A323" t="s">
        <v>132</v>
      </c>
      <c r="B323">
        <v>14</v>
      </c>
      <c r="C323">
        <v>7</v>
      </c>
      <c r="D323">
        <v>28</v>
      </c>
      <c r="E323">
        <f>SUM(Details[[#This Row],[Actual_Cost]],Details[[#This Row],[Profit]])</f>
        <v>35</v>
      </c>
      <c r="F323">
        <v>2</v>
      </c>
      <c r="G323">
        <f>PRODUCT(Details[[#This Row],[Selling_Cost]],Details[[#This Row],[Quantity]])</f>
        <v>70</v>
      </c>
      <c r="H323" t="s">
        <v>8</v>
      </c>
      <c r="I323" t="s">
        <v>48</v>
      </c>
      <c r="J323" t="s">
        <v>18</v>
      </c>
      <c r="K323" t="s">
        <v>610</v>
      </c>
      <c r="L323" t="s">
        <v>541</v>
      </c>
    </row>
    <row r="324" spans="1:12" x14ac:dyDescent="0.3">
      <c r="A324" t="s">
        <v>81</v>
      </c>
      <c r="B324">
        <v>25</v>
      </c>
      <c r="C324">
        <v>7</v>
      </c>
      <c r="D324">
        <v>50</v>
      </c>
      <c r="E324">
        <f>SUM(Details[[#This Row],[Actual_Cost]],Details[[#This Row],[Profit]])</f>
        <v>57</v>
      </c>
      <c r="F324">
        <v>2</v>
      </c>
      <c r="G324">
        <f>PRODUCT(Details[[#This Row],[Selling_Cost]],Details[[#This Row],[Quantity]])</f>
        <v>114</v>
      </c>
      <c r="H324" t="s">
        <v>8</v>
      </c>
      <c r="I324" t="s">
        <v>29</v>
      </c>
      <c r="J324" t="s">
        <v>10</v>
      </c>
      <c r="K324" t="s">
        <v>610</v>
      </c>
      <c r="L324" t="s">
        <v>541</v>
      </c>
    </row>
    <row r="325" spans="1:12" x14ac:dyDescent="0.3">
      <c r="A325" t="s">
        <v>212</v>
      </c>
      <c r="B325">
        <v>42</v>
      </c>
      <c r="C325">
        <v>7</v>
      </c>
      <c r="D325">
        <v>84</v>
      </c>
      <c r="E325">
        <f>SUM(Details[[#This Row],[Actual_Cost]],Details[[#This Row],[Profit]])</f>
        <v>91</v>
      </c>
      <c r="F325">
        <v>2</v>
      </c>
      <c r="G325">
        <f>PRODUCT(Details[[#This Row],[Selling_Cost]],Details[[#This Row],[Quantity]])</f>
        <v>182</v>
      </c>
      <c r="H325" t="s">
        <v>8</v>
      </c>
      <c r="I325" t="s">
        <v>44</v>
      </c>
      <c r="J325" t="s">
        <v>10</v>
      </c>
      <c r="K325" t="s">
        <v>548</v>
      </c>
      <c r="L325" t="s">
        <v>550</v>
      </c>
    </row>
    <row r="326" spans="1:12" x14ac:dyDescent="0.3">
      <c r="A326" t="s">
        <v>246</v>
      </c>
      <c r="B326">
        <v>51</v>
      </c>
      <c r="C326">
        <v>7</v>
      </c>
      <c r="D326">
        <v>102</v>
      </c>
      <c r="E326">
        <f>SUM(Details[[#This Row],[Actual_Cost]],Details[[#This Row],[Profit]])</f>
        <v>109</v>
      </c>
      <c r="F326">
        <v>2</v>
      </c>
      <c r="G326">
        <f>PRODUCT(Details[[#This Row],[Selling_Cost]],Details[[#This Row],[Quantity]])</f>
        <v>218</v>
      </c>
      <c r="H326" t="s">
        <v>16</v>
      </c>
      <c r="I326" t="s">
        <v>32</v>
      </c>
      <c r="J326" t="s">
        <v>18</v>
      </c>
      <c r="K326" t="s">
        <v>552</v>
      </c>
      <c r="L326" t="s">
        <v>585</v>
      </c>
    </row>
    <row r="327" spans="1:12" x14ac:dyDescent="0.3">
      <c r="A327" t="s">
        <v>118</v>
      </c>
      <c r="B327">
        <v>57</v>
      </c>
      <c r="C327">
        <v>7</v>
      </c>
      <c r="D327">
        <v>114</v>
      </c>
      <c r="E327">
        <f>SUM(Details[[#This Row],[Actual_Cost]],Details[[#This Row],[Profit]])</f>
        <v>121</v>
      </c>
      <c r="F327">
        <v>2</v>
      </c>
      <c r="G327">
        <f>PRODUCT(Details[[#This Row],[Selling_Cost]],Details[[#This Row],[Quantity]])</f>
        <v>242</v>
      </c>
      <c r="H327" t="s">
        <v>8</v>
      </c>
      <c r="I327" t="s">
        <v>61</v>
      </c>
      <c r="J327" t="s">
        <v>18</v>
      </c>
      <c r="K327" t="s">
        <v>539</v>
      </c>
      <c r="L327" t="s">
        <v>541</v>
      </c>
    </row>
    <row r="328" spans="1:12" x14ac:dyDescent="0.3">
      <c r="A328" t="s">
        <v>247</v>
      </c>
      <c r="B328">
        <v>100</v>
      </c>
      <c r="C328">
        <v>7</v>
      </c>
      <c r="D328">
        <v>200</v>
      </c>
      <c r="E328">
        <f>SUM(Details[[#This Row],[Actual_Cost]],Details[[#This Row],[Profit]])</f>
        <v>207</v>
      </c>
      <c r="F328">
        <v>2</v>
      </c>
      <c r="G328">
        <f>PRODUCT(Details[[#This Row],[Selling_Cost]],Details[[#This Row],[Quantity]])</f>
        <v>414</v>
      </c>
      <c r="H328" t="s">
        <v>8</v>
      </c>
      <c r="I328" t="s">
        <v>46</v>
      </c>
      <c r="J328" t="s">
        <v>18</v>
      </c>
      <c r="K328" t="s">
        <v>539</v>
      </c>
      <c r="L328" t="s">
        <v>550</v>
      </c>
    </row>
    <row r="329" spans="1:12" x14ac:dyDescent="0.3">
      <c r="A329" t="s">
        <v>248</v>
      </c>
      <c r="B329">
        <v>146</v>
      </c>
      <c r="C329">
        <v>7</v>
      </c>
      <c r="D329">
        <v>292</v>
      </c>
      <c r="E329">
        <f>SUM(Details[[#This Row],[Actual_Cost]],Details[[#This Row],[Profit]])</f>
        <v>299</v>
      </c>
      <c r="F329">
        <v>2</v>
      </c>
      <c r="G329">
        <f>PRODUCT(Details[[#This Row],[Selling_Cost]],Details[[#This Row],[Quantity]])</f>
        <v>598</v>
      </c>
      <c r="H329" t="s">
        <v>13</v>
      </c>
      <c r="I329" t="s">
        <v>14</v>
      </c>
      <c r="J329" t="s">
        <v>42</v>
      </c>
      <c r="K329" t="s">
        <v>561</v>
      </c>
      <c r="L329" t="s">
        <v>546</v>
      </c>
    </row>
    <row r="330" spans="1:12" x14ac:dyDescent="0.3">
      <c r="A330" t="s">
        <v>249</v>
      </c>
      <c r="B330">
        <v>16</v>
      </c>
      <c r="C330">
        <v>8</v>
      </c>
      <c r="D330">
        <v>32</v>
      </c>
      <c r="E330">
        <f>SUM(Details[[#This Row],[Actual_Cost]],Details[[#This Row],[Profit]])</f>
        <v>40</v>
      </c>
      <c r="F330">
        <v>2</v>
      </c>
      <c r="G330">
        <f>PRODUCT(Details[[#This Row],[Selling_Cost]],Details[[#This Row],[Quantity]])</f>
        <v>80</v>
      </c>
      <c r="H330" t="s">
        <v>8</v>
      </c>
      <c r="I330" t="s">
        <v>48</v>
      </c>
      <c r="J330" t="s">
        <v>10</v>
      </c>
      <c r="K330" t="s">
        <v>581</v>
      </c>
      <c r="L330" t="s">
        <v>567</v>
      </c>
    </row>
    <row r="331" spans="1:12" x14ac:dyDescent="0.3">
      <c r="A331" t="s">
        <v>153</v>
      </c>
      <c r="B331">
        <v>17</v>
      </c>
      <c r="C331">
        <v>8</v>
      </c>
      <c r="D331">
        <v>34</v>
      </c>
      <c r="E331">
        <f>SUM(Details[[#This Row],[Actual_Cost]],Details[[#This Row],[Profit]])</f>
        <v>42</v>
      </c>
      <c r="F331">
        <v>2</v>
      </c>
      <c r="G331">
        <f>PRODUCT(Details[[#This Row],[Selling_Cost]],Details[[#This Row],[Quantity]])</f>
        <v>84</v>
      </c>
      <c r="H331" t="s">
        <v>8</v>
      </c>
      <c r="I331" t="s">
        <v>58</v>
      </c>
      <c r="J331" t="s">
        <v>10</v>
      </c>
      <c r="K331" t="s">
        <v>632</v>
      </c>
      <c r="L331" t="s">
        <v>541</v>
      </c>
    </row>
    <row r="332" spans="1:12" x14ac:dyDescent="0.3">
      <c r="A332" t="s">
        <v>250</v>
      </c>
      <c r="B332">
        <v>18</v>
      </c>
      <c r="C332">
        <v>8</v>
      </c>
      <c r="D332">
        <v>36</v>
      </c>
      <c r="E332">
        <f>SUM(Details[[#This Row],[Actual_Cost]],Details[[#This Row],[Profit]])</f>
        <v>44</v>
      </c>
      <c r="F332">
        <v>2</v>
      </c>
      <c r="G332">
        <f>PRODUCT(Details[[#This Row],[Selling_Cost]],Details[[#This Row],[Quantity]])</f>
        <v>88</v>
      </c>
      <c r="H332" t="s">
        <v>8</v>
      </c>
      <c r="I332" t="s">
        <v>48</v>
      </c>
      <c r="J332" t="s">
        <v>42</v>
      </c>
      <c r="K332" t="s">
        <v>607</v>
      </c>
      <c r="L332" t="s">
        <v>614</v>
      </c>
    </row>
    <row r="333" spans="1:12" x14ac:dyDescent="0.3">
      <c r="A333" t="s">
        <v>103</v>
      </c>
      <c r="B333">
        <v>19</v>
      </c>
      <c r="C333">
        <v>8</v>
      </c>
      <c r="D333">
        <v>38</v>
      </c>
      <c r="E333">
        <f>SUM(Details[[#This Row],[Actual_Cost]],Details[[#This Row],[Profit]])</f>
        <v>46</v>
      </c>
      <c r="F333">
        <v>2</v>
      </c>
      <c r="G333">
        <f>PRODUCT(Details[[#This Row],[Selling_Cost]],Details[[#This Row],[Quantity]])</f>
        <v>92</v>
      </c>
      <c r="H333" t="s">
        <v>8</v>
      </c>
      <c r="I333" t="s">
        <v>48</v>
      </c>
      <c r="J333" t="s">
        <v>27</v>
      </c>
      <c r="K333" t="s">
        <v>610</v>
      </c>
      <c r="L333" t="s">
        <v>541</v>
      </c>
    </row>
    <row r="334" spans="1:12" x14ac:dyDescent="0.3">
      <c r="A334" t="s">
        <v>194</v>
      </c>
      <c r="B334">
        <v>19</v>
      </c>
      <c r="C334">
        <v>8</v>
      </c>
      <c r="D334">
        <v>38</v>
      </c>
      <c r="E334">
        <f>SUM(Details[[#This Row],[Actual_Cost]],Details[[#This Row],[Profit]])</f>
        <v>46</v>
      </c>
      <c r="F334">
        <v>2</v>
      </c>
      <c r="G334">
        <f>PRODUCT(Details[[#This Row],[Selling_Cost]],Details[[#This Row],[Quantity]])</f>
        <v>92</v>
      </c>
      <c r="H334" t="s">
        <v>8</v>
      </c>
      <c r="I334" t="s">
        <v>48</v>
      </c>
      <c r="J334" t="s">
        <v>42</v>
      </c>
      <c r="K334" t="s">
        <v>552</v>
      </c>
      <c r="L334" t="s">
        <v>550</v>
      </c>
    </row>
    <row r="335" spans="1:12" x14ac:dyDescent="0.3">
      <c r="A335" t="s">
        <v>105</v>
      </c>
      <c r="B335">
        <v>22</v>
      </c>
      <c r="C335">
        <v>8</v>
      </c>
      <c r="D335">
        <v>44</v>
      </c>
      <c r="E335">
        <f>SUM(Details[[#This Row],[Actual_Cost]],Details[[#This Row],[Profit]])</f>
        <v>52</v>
      </c>
      <c r="F335">
        <v>2</v>
      </c>
      <c r="G335">
        <f>PRODUCT(Details[[#This Row],[Selling_Cost]],Details[[#This Row],[Quantity]])</f>
        <v>104</v>
      </c>
      <c r="H335" t="s">
        <v>8</v>
      </c>
      <c r="I335" t="s">
        <v>69</v>
      </c>
      <c r="J335" t="s">
        <v>10</v>
      </c>
      <c r="K335" t="s">
        <v>548</v>
      </c>
      <c r="L335" t="s">
        <v>567</v>
      </c>
    </row>
    <row r="336" spans="1:12" x14ac:dyDescent="0.3">
      <c r="A336" t="s">
        <v>232</v>
      </c>
      <c r="B336">
        <v>23</v>
      </c>
      <c r="C336">
        <v>8</v>
      </c>
      <c r="D336">
        <v>46</v>
      </c>
      <c r="E336">
        <f>SUM(Details[[#This Row],[Actual_Cost]],Details[[#This Row],[Profit]])</f>
        <v>54</v>
      </c>
      <c r="F336">
        <v>2</v>
      </c>
      <c r="G336">
        <f>PRODUCT(Details[[#This Row],[Selling_Cost]],Details[[#This Row],[Quantity]])</f>
        <v>108</v>
      </c>
      <c r="H336" t="s">
        <v>8</v>
      </c>
      <c r="I336" t="s">
        <v>48</v>
      </c>
      <c r="J336" t="s">
        <v>42</v>
      </c>
      <c r="K336" t="s">
        <v>552</v>
      </c>
      <c r="L336" t="s">
        <v>546</v>
      </c>
    </row>
    <row r="337" spans="1:12" x14ac:dyDescent="0.3">
      <c r="A337" t="s">
        <v>251</v>
      </c>
      <c r="B337">
        <v>24</v>
      </c>
      <c r="C337">
        <v>8</v>
      </c>
      <c r="D337">
        <v>48</v>
      </c>
      <c r="E337">
        <f>SUM(Details[[#This Row],[Actual_Cost]],Details[[#This Row],[Profit]])</f>
        <v>56</v>
      </c>
      <c r="F337">
        <v>2</v>
      </c>
      <c r="G337">
        <f>PRODUCT(Details[[#This Row],[Selling_Cost]],Details[[#This Row],[Quantity]])</f>
        <v>112</v>
      </c>
      <c r="H337" t="s">
        <v>8</v>
      </c>
      <c r="I337" t="s">
        <v>58</v>
      </c>
      <c r="J337" t="s">
        <v>42</v>
      </c>
      <c r="K337" t="s">
        <v>569</v>
      </c>
      <c r="L337" t="s">
        <v>567</v>
      </c>
    </row>
    <row r="338" spans="1:12" x14ac:dyDescent="0.3">
      <c r="A338" t="s">
        <v>120</v>
      </c>
      <c r="B338">
        <v>27</v>
      </c>
      <c r="C338">
        <v>8</v>
      </c>
      <c r="D338">
        <v>54</v>
      </c>
      <c r="E338">
        <f>SUM(Details[[#This Row],[Actual_Cost]],Details[[#This Row],[Profit]])</f>
        <v>62</v>
      </c>
      <c r="F338">
        <v>2</v>
      </c>
      <c r="G338">
        <f>PRODUCT(Details[[#This Row],[Selling_Cost]],Details[[#This Row],[Quantity]])</f>
        <v>124</v>
      </c>
      <c r="H338" t="s">
        <v>8</v>
      </c>
      <c r="I338" t="s">
        <v>46</v>
      </c>
      <c r="J338" t="s">
        <v>42</v>
      </c>
      <c r="K338" t="s">
        <v>552</v>
      </c>
      <c r="L338" t="s">
        <v>541</v>
      </c>
    </row>
    <row r="339" spans="1:12" x14ac:dyDescent="0.3">
      <c r="A339" t="s">
        <v>140</v>
      </c>
      <c r="B339">
        <v>44</v>
      </c>
      <c r="C339">
        <v>8</v>
      </c>
      <c r="D339">
        <v>88</v>
      </c>
      <c r="E339">
        <f>SUM(Details[[#This Row],[Actual_Cost]],Details[[#This Row],[Profit]])</f>
        <v>96</v>
      </c>
      <c r="F339">
        <v>2</v>
      </c>
      <c r="G339">
        <f>PRODUCT(Details[[#This Row],[Selling_Cost]],Details[[#This Row],[Quantity]])</f>
        <v>192</v>
      </c>
      <c r="H339" t="s">
        <v>8</v>
      </c>
      <c r="I339" t="s">
        <v>29</v>
      </c>
      <c r="J339" t="s">
        <v>10</v>
      </c>
      <c r="K339" t="s">
        <v>543</v>
      </c>
      <c r="L339" t="s">
        <v>544</v>
      </c>
    </row>
    <row r="340" spans="1:12" x14ac:dyDescent="0.3">
      <c r="A340" t="s">
        <v>252</v>
      </c>
      <c r="B340">
        <v>62</v>
      </c>
      <c r="C340">
        <v>8</v>
      </c>
      <c r="D340">
        <v>124</v>
      </c>
      <c r="E340">
        <f>SUM(Details[[#This Row],[Actual_Cost]],Details[[#This Row],[Profit]])</f>
        <v>132</v>
      </c>
      <c r="F340">
        <v>2</v>
      </c>
      <c r="G340">
        <f>PRODUCT(Details[[#This Row],[Selling_Cost]],Details[[#This Row],[Quantity]])</f>
        <v>264</v>
      </c>
      <c r="H340" t="s">
        <v>8</v>
      </c>
      <c r="I340" t="s">
        <v>46</v>
      </c>
      <c r="J340" t="s">
        <v>18</v>
      </c>
      <c r="K340" t="s">
        <v>543</v>
      </c>
      <c r="L340" t="s">
        <v>546</v>
      </c>
    </row>
    <row r="341" spans="1:12" x14ac:dyDescent="0.3">
      <c r="A341" t="s">
        <v>253</v>
      </c>
      <c r="B341">
        <v>86</v>
      </c>
      <c r="C341">
        <v>8</v>
      </c>
      <c r="D341">
        <v>172</v>
      </c>
      <c r="E341">
        <f>SUM(Details[[#This Row],[Actual_Cost]],Details[[#This Row],[Profit]])</f>
        <v>180</v>
      </c>
      <c r="F341">
        <v>2</v>
      </c>
      <c r="G341">
        <f>PRODUCT(Details[[#This Row],[Selling_Cost]],Details[[#This Row],[Quantity]])</f>
        <v>360</v>
      </c>
      <c r="H341" t="s">
        <v>8</v>
      </c>
      <c r="I341" t="s">
        <v>9</v>
      </c>
      <c r="J341" t="s">
        <v>42</v>
      </c>
      <c r="K341" t="s">
        <v>552</v>
      </c>
      <c r="L341" t="s">
        <v>567</v>
      </c>
    </row>
    <row r="342" spans="1:12" x14ac:dyDescent="0.3">
      <c r="A342" t="s">
        <v>254</v>
      </c>
      <c r="B342">
        <v>199</v>
      </c>
      <c r="C342">
        <v>8</v>
      </c>
      <c r="D342">
        <v>398</v>
      </c>
      <c r="E342">
        <f>SUM(Details[[#This Row],[Actual_Cost]],Details[[#This Row],[Profit]])</f>
        <v>406</v>
      </c>
      <c r="F342">
        <v>2</v>
      </c>
      <c r="G342">
        <f>PRODUCT(Details[[#This Row],[Selling_Cost]],Details[[#This Row],[Quantity]])</f>
        <v>812</v>
      </c>
      <c r="H342" t="s">
        <v>8</v>
      </c>
      <c r="I342" t="s">
        <v>9</v>
      </c>
      <c r="J342" t="s">
        <v>10</v>
      </c>
      <c r="K342" t="s">
        <v>548</v>
      </c>
      <c r="L342" t="s">
        <v>544</v>
      </c>
    </row>
    <row r="343" spans="1:12" x14ac:dyDescent="0.3">
      <c r="A343" t="s">
        <v>255</v>
      </c>
      <c r="B343">
        <v>248</v>
      </c>
      <c r="C343">
        <v>8</v>
      </c>
      <c r="D343">
        <v>496</v>
      </c>
      <c r="E343">
        <f>SUM(Details[[#This Row],[Actual_Cost]],Details[[#This Row],[Profit]])</f>
        <v>504</v>
      </c>
      <c r="F343">
        <v>2</v>
      </c>
      <c r="G343">
        <f>PRODUCT(Details[[#This Row],[Selling_Cost]],Details[[#This Row],[Quantity]])</f>
        <v>1008</v>
      </c>
      <c r="H343" t="s">
        <v>8</v>
      </c>
      <c r="I343" t="s">
        <v>9</v>
      </c>
      <c r="J343" t="s">
        <v>27</v>
      </c>
      <c r="K343" t="s">
        <v>539</v>
      </c>
      <c r="L343" t="s">
        <v>567</v>
      </c>
    </row>
    <row r="344" spans="1:12" x14ac:dyDescent="0.3">
      <c r="A344" t="s">
        <v>126</v>
      </c>
      <c r="B344">
        <v>22</v>
      </c>
      <c r="C344">
        <v>9</v>
      </c>
      <c r="D344">
        <v>44</v>
      </c>
      <c r="E344">
        <f>SUM(Details[[#This Row],[Actual_Cost]],Details[[#This Row],[Profit]])</f>
        <v>53</v>
      </c>
      <c r="F344">
        <v>2</v>
      </c>
      <c r="G344">
        <f>PRODUCT(Details[[#This Row],[Selling_Cost]],Details[[#This Row],[Quantity]])</f>
        <v>106</v>
      </c>
      <c r="H344" t="s">
        <v>8</v>
      </c>
      <c r="I344" t="s">
        <v>69</v>
      </c>
      <c r="J344" t="s">
        <v>42</v>
      </c>
      <c r="K344" t="s">
        <v>539</v>
      </c>
      <c r="L344" t="s">
        <v>550</v>
      </c>
    </row>
    <row r="345" spans="1:12" x14ac:dyDescent="0.3">
      <c r="A345" t="s">
        <v>256</v>
      </c>
      <c r="B345">
        <v>26</v>
      </c>
      <c r="C345">
        <v>9</v>
      </c>
      <c r="D345">
        <v>52</v>
      </c>
      <c r="E345">
        <f>SUM(Details[[#This Row],[Actual_Cost]],Details[[#This Row],[Profit]])</f>
        <v>61</v>
      </c>
      <c r="F345">
        <v>2</v>
      </c>
      <c r="G345">
        <f>PRODUCT(Details[[#This Row],[Selling_Cost]],Details[[#This Row],[Quantity]])</f>
        <v>122</v>
      </c>
      <c r="H345" t="s">
        <v>8</v>
      </c>
      <c r="I345" t="s">
        <v>69</v>
      </c>
      <c r="J345" t="s">
        <v>10</v>
      </c>
      <c r="K345" t="s">
        <v>539</v>
      </c>
      <c r="L345" t="s">
        <v>567</v>
      </c>
    </row>
    <row r="346" spans="1:12" x14ac:dyDescent="0.3">
      <c r="A346" t="s">
        <v>105</v>
      </c>
      <c r="B346">
        <v>27</v>
      </c>
      <c r="C346">
        <v>9</v>
      </c>
      <c r="D346">
        <v>54</v>
      </c>
      <c r="E346">
        <f>SUM(Details[[#This Row],[Actual_Cost]],Details[[#This Row],[Profit]])</f>
        <v>63</v>
      </c>
      <c r="F346">
        <v>2</v>
      </c>
      <c r="G346">
        <f>PRODUCT(Details[[#This Row],[Selling_Cost]],Details[[#This Row],[Quantity]])</f>
        <v>126</v>
      </c>
      <c r="H346" t="s">
        <v>8</v>
      </c>
      <c r="I346" t="s">
        <v>48</v>
      </c>
      <c r="J346" t="s">
        <v>10</v>
      </c>
      <c r="K346" t="s">
        <v>548</v>
      </c>
      <c r="L346" t="s">
        <v>567</v>
      </c>
    </row>
    <row r="347" spans="1:12" x14ac:dyDescent="0.3">
      <c r="A347" t="s">
        <v>257</v>
      </c>
      <c r="B347">
        <v>27</v>
      </c>
      <c r="C347">
        <v>9</v>
      </c>
      <c r="D347">
        <v>54</v>
      </c>
      <c r="E347">
        <f>SUM(Details[[#This Row],[Actual_Cost]],Details[[#This Row],[Profit]])</f>
        <v>63</v>
      </c>
      <c r="F347">
        <v>2</v>
      </c>
      <c r="G347">
        <f>PRODUCT(Details[[#This Row],[Selling_Cost]],Details[[#This Row],[Quantity]])</f>
        <v>126</v>
      </c>
      <c r="H347" t="s">
        <v>8</v>
      </c>
      <c r="I347" t="s">
        <v>46</v>
      </c>
      <c r="J347" t="s">
        <v>18</v>
      </c>
      <c r="K347" t="s">
        <v>607</v>
      </c>
      <c r="L347" t="s">
        <v>624</v>
      </c>
    </row>
    <row r="348" spans="1:12" x14ac:dyDescent="0.3">
      <c r="A348" t="s">
        <v>243</v>
      </c>
      <c r="B348">
        <v>31</v>
      </c>
      <c r="C348">
        <v>9</v>
      </c>
      <c r="D348">
        <v>62</v>
      </c>
      <c r="E348">
        <f>SUM(Details[[#This Row],[Actual_Cost]],Details[[#This Row],[Profit]])</f>
        <v>71</v>
      </c>
      <c r="F348">
        <v>2</v>
      </c>
      <c r="G348">
        <f>PRODUCT(Details[[#This Row],[Selling_Cost]],Details[[#This Row],[Quantity]])</f>
        <v>142</v>
      </c>
      <c r="H348" t="s">
        <v>8</v>
      </c>
      <c r="I348" t="s">
        <v>48</v>
      </c>
      <c r="J348" t="s">
        <v>10</v>
      </c>
      <c r="K348" t="s">
        <v>578</v>
      </c>
      <c r="L348" t="s">
        <v>541</v>
      </c>
    </row>
    <row r="349" spans="1:12" x14ac:dyDescent="0.3">
      <c r="A349" t="s">
        <v>243</v>
      </c>
      <c r="B349">
        <v>33</v>
      </c>
      <c r="C349">
        <v>9</v>
      </c>
      <c r="D349">
        <v>66</v>
      </c>
      <c r="E349">
        <f>SUM(Details[[#This Row],[Actual_Cost]],Details[[#This Row],[Profit]])</f>
        <v>75</v>
      </c>
      <c r="F349">
        <v>2</v>
      </c>
      <c r="G349">
        <f>PRODUCT(Details[[#This Row],[Selling_Cost]],Details[[#This Row],[Quantity]])</f>
        <v>150</v>
      </c>
      <c r="H349" t="s">
        <v>8</v>
      </c>
      <c r="I349" t="s">
        <v>48</v>
      </c>
      <c r="J349" t="s">
        <v>10</v>
      </c>
      <c r="K349" t="s">
        <v>578</v>
      </c>
      <c r="L349" t="s">
        <v>541</v>
      </c>
    </row>
    <row r="350" spans="1:12" x14ac:dyDescent="0.3">
      <c r="A350" t="s">
        <v>258</v>
      </c>
      <c r="B350">
        <v>38</v>
      </c>
      <c r="C350">
        <v>9</v>
      </c>
      <c r="D350">
        <v>76</v>
      </c>
      <c r="E350">
        <f>SUM(Details[[#This Row],[Actual_Cost]],Details[[#This Row],[Profit]])</f>
        <v>85</v>
      </c>
      <c r="F350">
        <v>2</v>
      </c>
      <c r="G350">
        <f>PRODUCT(Details[[#This Row],[Selling_Cost]],Details[[#This Row],[Quantity]])</f>
        <v>170</v>
      </c>
      <c r="H350" t="s">
        <v>8</v>
      </c>
      <c r="I350" t="s">
        <v>29</v>
      </c>
      <c r="J350" t="s">
        <v>10</v>
      </c>
      <c r="K350" t="s">
        <v>607</v>
      </c>
      <c r="L350" t="s">
        <v>541</v>
      </c>
    </row>
    <row r="351" spans="1:12" x14ac:dyDescent="0.3">
      <c r="A351" t="s">
        <v>259</v>
      </c>
      <c r="B351">
        <v>38</v>
      </c>
      <c r="C351">
        <v>9</v>
      </c>
      <c r="D351">
        <v>76</v>
      </c>
      <c r="E351">
        <f>SUM(Details[[#This Row],[Actual_Cost]],Details[[#This Row],[Profit]])</f>
        <v>85</v>
      </c>
      <c r="F351">
        <v>2</v>
      </c>
      <c r="G351">
        <f>PRODUCT(Details[[#This Row],[Selling_Cost]],Details[[#This Row],[Quantity]])</f>
        <v>170</v>
      </c>
      <c r="H351" t="s">
        <v>8</v>
      </c>
      <c r="I351" t="s">
        <v>29</v>
      </c>
      <c r="J351" t="s">
        <v>10</v>
      </c>
      <c r="K351" t="s">
        <v>587</v>
      </c>
      <c r="L351" t="s">
        <v>544</v>
      </c>
    </row>
    <row r="352" spans="1:12" x14ac:dyDescent="0.3">
      <c r="A352" t="s">
        <v>102</v>
      </c>
      <c r="B352">
        <v>98</v>
      </c>
      <c r="C352">
        <v>9</v>
      </c>
      <c r="D352">
        <v>196</v>
      </c>
      <c r="E352">
        <f>SUM(Details[[#This Row],[Actual_Cost]],Details[[#This Row],[Profit]])</f>
        <v>205</v>
      </c>
      <c r="F352">
        <v>2</v>
      </c>
      <c r="G352">
        <f>PRODUCT(Details[[#This Row],[Selling_Cost]],Details[[#This Row],[Quantity]])</f>
        <v>410</v>
      </c>
      <c r="H352" t="s">
        <v>16</v>
      </c>
      <c r="I352" t="s">
        <v>32</v>
      </c>
      <c r="J352" t="s">
        <v>10</v>
      </c>
      <c r="K352" t="s">
        <v>552</v>
      </c>
      <c r="L352" t="s">
        <v>554</v>
      </c>
    </row>
    <row r="353" spans="1:12" x14ac:dyDescent="0.3">
      <c r="A353" t="s">
        <v>126</v>
      </c>
      <c r="B353">
        <v>846</v>
      </c>
      <c r="C353">
        <v>9</v>
      </c>
      <c r="D353">
        <v>1692</v>
      </c>
      <c r="E353">
        <f>SUM(Details[[#This Row],[Actual_Cost]],Details[[#This Row],[Profit]])</f>
        <v>1701</v>
      </c>
      <c r="F353">
        <v>2</v>
      </c>
      <c r="G353">
        <f>PRODUCT(Details[[#This Row],[Selling_Cost]],Details[[#This Row],[Quantity]])</f>
        <v>3402</v>
      </c>
      <c r="H353" t="s">
        <v>16</v>
      </c>
      <c r="I353" t="s">
        <v>23</v>
      </c>
      <c r="J353" t="s">
        <v>42</v>
      </c>
      <c r="K353" t="s">
        <v>539</v>
      </c>
      <c r="L353" t="s">
        <v>550</v>
      </c>
    </row>
    <row r="354" spans="1:12" x14ac:dyDescent="0.3">
      <c r="A354" t="s">
        <v>260</v>
      </c>
      <c r="B354">
        <v>29</v>
      </c>
      <c r="C354">
        <v>10</v>
      </c>
      <c r="D354">
        <v>58</v>
      </c>
      <c r="E354">
        <f>SUM(Details[[#This Row],[Actual_Cost]],Details[[#This Row],[Profit]])</f>
        <v>68</v>
      </c>
      <c r="F354">
        <v>2</v>
      </c>
      <c r="G354">
        <f>PRODUCT(Details[[#This Row],[Selling_Cost]],Details[[#This Row],[Quantity]])</f>
        <v>136</v>
      </c>
      <c r="H354" t="s">
        <v>8</v>
      </c>
      <c r="I354" t="s">
        <v>29</v>
      </c>
      <c r="J354" t="s">
        <v>10</v>
      </c>
      <c r="K354" t="s">
        <v>552</v>
      </c>
      <c r="L354" t="s">
        <v>614</v>
      </c>
    </row>
    <row r="355" spans="1:12" x14ac:dyDescent="0.3">
      <c r="A355" t="s">
        <v>261</v>
      </c>
      <c r="B355">
        <v>34</v>
      </c>
      <c r="C355">
        <v>10</v>
      </c>
      <c r="D355">
        <v>68</v>
      </c>
      <c r="E355">
        <f>SUM(Details[[#This Row],[Actual_Cost]],Details[[#This Row],[Profit]])</f>
        <v>78</v>
      </c>
      <c r="F355">
        <v>2</v>
      </c>
      <c r="G355">
        <f>PRODUCT(Details[[#This Row],[Selling_Cost]],Details[[#This Row],[Quantity]])</f>
        <v>156</v>
      </c>
      <c r="H355" t="s">
        <v>8</v>
      </c>
      <c r="I355" t="s">
        <v>46</v>
      </c>
      <c r="J355" t="s">
        <v>42</v>
      </c>
      <c r="K355" t="s">
        <v>552</v>
      </c>
      <c r="L355" t="s">
        <v>541</v>
      </c>
    </row>
    <row r="356" spans="1:12" x14ac:dyDescent="0.3">
      <c r="A356" t="s">
        <v>135</v>
      </c>
      <c r="B356">
        <v>40</v>
      </c>
      <c r="C356">
        <v>10</v>
      </c>
      <c r="D356">
        <v>80</v>
      </c>
      <c r="E356">
        <f>SUM(Details[[#This Row],[Actual_Cost]],Details[[#This Row],[Profit]])</f>
        <v>90</v>
      </c>
      <c r="F356">
        <v>2</v>
      </c>
      <c r="G356">
        <f>PRODUCT(Details[[#This Row],[Selling_Cost]],Details[[#This Row],[Quantity]])</f>
        <v>180</v>
      </c>
      <c r="H356" t="s">
        <v>8</v>
      </c>
      <c r="I356" t="s">
        <v>29</v>
      </c>
      <c r="J356" t="s">
        <v>10</v>
      </c>
      <c r="K356" t="s">
        <v>581</v>
      </c>
      <c r="L356" t="s">
        <v>541</v>
      </c>
    </row>
    <row r="357" spans="1:12" x14ac:dyDescent="0.3">
      <c r="A357" t="s">
        <v>262</v>
      </c>
      <c r="B357">
        <v>59</v>
      </c>
      <c r="C357">
        <v>10</v>
      </c>
      <c r="D357">
        <v>118</v>
      </c>
      <c r="E357">
        <f>SUM(Details[[#This Row],[Actual_Cost]],Details[[#This Row],[Profit]])</f>
        <v>128</v>
      </c>
      <c r="F357">
        <v>2</v>
      </c>
      <c r="G357">
        <f>PRODUCT(Details[[#This Row],[Selling_Cost]],Details[[#This Row],[Quantity]])</f>
        <v>256</v>
      </c>
      <c r="H357" t="s">
        <v>8</v>
      </c>
      <c r="I357" t="s">
        <v>48</v>
      </c>
      <c r="J357" t="s">
        <v>10</v>
      </c>
      <c r="K357" t="s">
        <v>548</v>
      </c>
      <c r="L357" t="s">
        <v>546</v>
      </c>
    </row>
    <row r="358" spans="1:12" x14ac:dyDescent="0.3">
      <c r="A358" t="s">
        <v>263</v>
      </c>
      <c r="B358">
        <v>245</v>
      </c>
      <c r="C358">
        <v>10</v>
      </c>
      <c r="D358">
        <v>490</v>
      </c>
      <c r="E358">
        <f>SUM(Details[[#This Row],[Actual_Cost]],Details[[#This Row],[Profit]])</f>
        <v>500</v>
      </c>
      <c r="F358">
        <v>2</v>
      </c>
      <c r="G358">
        <f>PRODUCT(Details[[#This Row],[Selling_Cost]],Details[[#This Row],[Quantity]])</f>
        <v>1000</v>
      </c>
      <c r="H358" t="s">
        <v>16</v>
      </c>
      <c r="I358" t="s">
        <v>17</v>
      </c>
      <c r="J358" t="s">
        <v>10</v>
      </c>
      <c r="K358" t="s">
        <v>552</v>
      </c>
      <c r="L358" t="s">
        <v>546</v>
      </c>
    </row>
    <row r="359" spans="1:12" x14ac:dyDescent="0.3">
      <c r="A359" t="s">
        <v>264</v>
      </c>
      <c r="B359">
        <v>22</v>
      </c>
      <c r="C359">
        <v>11</v>
      </c>
      <c r="D359">
        <v>44</v>
      </c>
      <c r="E359">
        <f>SUM(Details[[#This Row],[Actual_Cost]],Details[[#This Row],[Profit]])</f>
        <v>55</v>
      </c>
      <c r="F359">
        <v>2</v>
      </c>
      <c r="G359">
        <f>PRODUCT(Details[[#This Row],[Selling_Cost]],Details[[#This Row],[Quantity]])</f>
        <v>110</v>
      </c>
      <c r="H359" t="s">
        <v>8</v>
      </c>
      <c r="I359" t="s">
        <v>58</v>
      </c>
      <c r="J359" t="s">
        <v>27</v>
      </c>
      <c r="K359" t="s">
        <v>548</v>
      </c>
      <c r="L359" t="s">
        <v>567</v>
      </c>
    </row>
    <row r="360" spans="1:12" x14ac:dyDescent="0.3">
      <c r="A360" t="s">
        <v>244</v>
      </c>
      <c r="B360">
        <v>26</v>
      </c>
      <c r="C360">
        <v>11</v>
      </c>
      <c r="D360">
        <v>52</v>
      </c>
      <c r="E360">
        <f>SUM(Details[[#This Row],[Actual_Cost]],Details[[#This Row],[Profit]])</f>
        <v>63</v>
      </c>
      <c r="F360">
        <v>2</v>
      </c>
      <c r="G360">
        <f>PRODUCT(Details[[#This Row],[Selling_Cost]],Details[[#This Row],[Quantity]])</f>
        <v>126</v>
      </c>
      <c r="H360" t="s">
        <v>8</v>
      </c>
      <c r="I360" t="s">
        <v>48</v>
      </c>
      <c r="J360" t="s">
        <v>18</v>
      </c>
      <c r="K360" t="s">
        <v>569</v>
      </c>
      <c r="L360" t="s">
        <v>567</v>
      </c>
    </row>
    <row r="361" spans="1:12" x14ac:dyDescent="0.3">
      <c r="A361" t="s">
        <v>265</v>
      </c>
      <c r="B361">
        <v>32</v>
      </c>
      <c r="C361">
        <v>11</v>
      </c>
      <c r="D361">
        <v>64</v>
      </c>
      <c r="E361">
        <f>SUM(Details[[#This Row],[Actual_Cost]],Details[[#This Row],[Profit]])</f>
        <v>75</v>
      </c>
      <c r="F361">
        <v>2</v>
      </c>
      <c r="G361">
        <f>PRODUCT(Details[[#This Row],[Selling_Cost]],Details[[#This Row],[Quantity]])</f>
        <v>150</v>
      </c>
      <c r="H361" t="s">
        <v>8</v>
      </c>
      <c r="I361" t="s">
        <v>69</v>
      </c>
      <c r="J361" t="s">
        <v>18</v>
      </c>
      <c r="K361" t="s">
        <v>552</v>
      </c>
      <c r="L361" t="s">
        <v>563</v>
      </c>
    </row>
    <row r="362" spans="1:12" x14ac:dyDescent="0.3">
      <c r="A362" t="s">
        <v>114</v>
      </c>
      <c r="B362">
        <v>48</v>
      </c>
      <c r="C362">
        <v>11</v>
      </c>
      <c r="D362">
        <v>96</v>
      </c>
      <c r="E362">
        <f>SUM(Details[[#This Row],[Actual_Cost]],Details[[#This Row],[Profit]])</f>
        <v>107</v>
      </c>
      <c r="F362">
        <v>2</v>
      </c>
      <c r="G362">
        <f>PRODUCT(Details[[#This Row],[Selling_Cost]],Details[[#This Row],[Quantity]])</f>
        <v>214</v>
      </c>
      <c r="H362" t="s">
        <v>8</v>
      </c>
      <c r="I362" t="s">
        <v>61</v>
      </c>
      <c r="J362" t="s">
        <v>10</v>
      </c>
      <c r="K362" t="s">
        <v>569</v>
      </c>
      <c r="L362" t="s">
        <v>546</v>
      </c>
    </row>
    <row r="363" spans="1:12" x14ac:dyDescent="0.3">
      <c r="A363" t="s">
        <v>243</v>
      </c>
      <c r="B363">
        <v>101</v>
      </c>
      <c r="C363">
        <v>11</v>
      </c>
      <c r="D363">
        <v>202</v>
      </c>
      <c r="E363">
        <f>SUM(Details[[#This Row],[Actual_Cost]],Details[[#This Row],[Profit]])</f>
        <v>213</v>
      </c>
      <c r="F363">
        <v>2</v>
      </c>
      <c r="G363">
        <f>PRODUCT(Details[[#This Row],[Selling_Cost]],Details[[#This Row],[Quantity]])</f>
        <v>426</v>
      </c>
      <c r="H363" t="s">
        <v>8</v>
      </c>
      <c r="I363" t="s">
        <v>48</v>
      </c>
      <c r="J363" t="s">
        <v>18</v>
      </c>
      <c r="K363" t="s">
        <v>578</v>
      </c>
      <c r="L363" t="s">
        <v>541</v>
      </c>
    </row>
    <row r="364" spans="1:12" x14ac:dyDescent="0.3">
      <c r="A364" t="s">
        <v>35</v>
      </c>
      <c r="B364">
        <v>129</v>
      </c>
      <c r="C364">
        <v>11</v>
      </c>
      <c r="D364">
        <v>258</v>
      </c>
      <c r="E364">
        <f>SUM(Details[[#This Row],[Actual_Cost]],Details[[#This Row],[Profit]])</f>
        <v>269</v>
      </c>
      <c r="F364">
        <v>2</v>
      </c>
      <c r="G364">
        <f>PRODUCT(Details[[#This Row],[Selling_Cost]],Details[[#This Row],[Quantity]])</f>
        <v>538</v>
      </c>
      <c r="H364" t="s">
        <v>13</v>
      </c>
      <c r="I364" t="s">
        <v>14</v>
      </c>
      <c r="J364" t="s">
        <v>18</v>
      </c>
      <c r="K364" t="s">
        <v>543</v>
      </c>
      <c r="L364" t="s">
        <v>544</v>
      </c>
    </row>
    <row r="365" spans="1:12" x14ac:dyDescent="0.3">
      <c r="A365" t="s">
        <v>266</v>
      </c>
      <c r="B365">
        <v>34</v>
      </c>
      <c r="C365">
        <v>12</v>
      </c>
      <c r="D365">
        <v>68</v>
      </c>
      <c r="E365">
        <f>SUM(Details[[#This Row],[Actual_Cost]],Details[[#This Row],[Profit]])</f>
        <v>80</v>
      </c>
      <c r="F365">
        <v>2</v>
      </c>
      <c r="G365">
        <f>PRODUCT(Details[[#This Row],[Selling_Cost]],Details[[#This Row],[Quantity]])</f>
        <v>160</v>
      </c>
      <c r="H365" t="s">
        <v>8</v>
      </c>
      <c r="I365" t="s">
        <v>29</v>
      </c>
      <c r="J365" t="s">
        <v>10</v>
      </c>
      <c r="K365" t="s">
        <v>548</v>
      </c>
      <c r="L365" t="s">
        <v>541</v>
      </c>
    </row>
    <row r="366" spans="1:12" x14ac:dyDescent="0.3">
      <c r="A366" t="s">
        <v>80</v>
      </c>
      <c r="B366">
        <v>42</v>
      </c>
      <c r="C366">
        <v>12</v>
      </c>
      <c r="D366">
        <v>84</v>
      </c>
      <c r="E366">
        <f>SUM(Details[[#This Row],[Actual_Cost]],Details[[#This Row],[Profit]])</f>
        <v>96</v>
      </c>
      <c r="F366">
        <v>2</v>
      </c>
      <c r="G366">
        <f>PRODUCT(Details[[#This Row],[Selling_Cost]],Details[[#This Row],[Quantity]])</f>
        <v>192</v>
      </c>
      <c r="H366" t="s">
        <v>8</v>
      </c>
      <c r="I366" t="s">
        <v>44</v>
      </c>
      <c r="J366" t="s">
        <v>10</v>
      </c>
      <c r="K366" t="s">
        <v>552</v>
      </c>
      <c r="L366" t="s">
        <v>567</v>
      </c>
    </row>
    <row r="367" spans="1:12" x14ac:dyDescent="0.3">
      <c r="A367" t="s">
        <v>267</v>
      </c>
      <c r="B367">
        <v>83</v>
      </c>
      <c r="C367">
        <v>12</v>
      </c>
      <c r="D367">
        <v>166</v>
      </c>
      <c r="E367">
        <f>SUM(Details[[#This Row],[Actual_Cost]],Details[[#This Row],[Profit]])</f>
        <v>178</v>
      </c>
      <c r="F367">
        <v>2</v>
      </c>
      <c r="G367">
        <f>PRODUCT(Details[[#This Row],[Selling_Cost]],Details[[#This Row],[Quantity]])</f>
        <v>356</v>
      </c>
      <c r="H367" t="s">
        <v>16</v>
      </c>
      <c r="I367" t="s">
        <v>23</v>
      </c>
      <c r="J367" t="s">
        <v>10</v>
      </c>
      <c r="K367" t="s">
        <v>543</v>
      </c>
      <c r="L367" t="s">
        <v>550</v>
      </c>
    </row>
    <row r="368" spans="1:12" x14ac:dyDescent="0.3">
      <c r="A368" t="s">
        <v>103</v>
      </c>
      <c r="B368">
        <v>97</v>
      </c>
      <c r="C368">
        <v>12</v>
      </c>
      <c r="D368">
        <v>194</v>
      </c>
      <c r="E368">
        <f>SUM(Details[[#This Row],[Actual_Cost]],Details[[#This Row],[Profit]])</f>
        <v>206</v>
      </c>
      <c r="F368">
        <v>2</v>
      </c>
      <c r="G368">
        <f>PRODUCT(Details[[#This Row],[Selling_Cost]],Details[[#This Row],[Quantity]])</f>
        <v>412</v>
      </c>
      <c r="H368" t="s">
        <v>8</v>
      </c>
      <c r="I368" t="s">
        <v>48</v>
      </c>
      <c r="J368" t="s">
        <v>18</v>
      </c>
      <c r="K368" t="s">
        <v>610</v>
      </c>
      <c r="L368" t="s">
        <v>541</v>
      </c>
    </row>
    <row r="369" spans="1:12" x14ac:dyDescent="0.3">
      <c r="A369" t="s">
        <v>139</v>
      </c>
      <c r="B369">
        <v>98</v>
      </c>
      <c r="C369">
        <v>12</v>
      </c>
      <c r="D369">
        <v>196</v>
      </c>
      <c r="E369">
        <f>SUM(Details[[#This Row],[Actual_Cost]],Details[[#This Row],[Profit]])</f>
        <v>208</v>
      </c>
      <c r="F369">
        <v>2</v>
      </c>
      <c r="G369">
        <f>PRODUCT(Details[[#This Row],[Selling_Cost]],Details[[#This Row],[Quantity]])</f>
        <v>416</v>
      </c>
      <c r="H369" t="s">
        <v>8</v>
      </c>
      <c r="I369" t="s">
        <v>48</v>
      </c>
      <c r="J369" t="s">
        <v>27</v>
      </c>
      <c r="K369" t="s">
        <v>552</v>
      </c>
      <c r="L369" t="s">
        <v>567</v>
      </c>
    </row>
    <row r="370" spans="1:12" x14ac:dyDescent="0.3">
      <c r="A370" t="s">
        <v>268</v>
      </c>
      <c r="B370">
        <v>100</v>
      </c>
      <c r="C370">
        <v>12</v>
      </c>
      <c r="D370">
        <v>200</v>
      </c>
      <c r="E370">
        <f>SUM(Details[[#This Row],[Actual_Cost]],Details[[#This Row],[Profit]])</f>
        <v>212</v>
      </c>
      <c r="F370">
        <v>2</v>
      </c>
      <c r="G370">
        <f>PRODUCT(Details[[#This Row],[Selling_Cost]],Details[[#This Row],[Quantity]])</f>
        <v>424</v>
      </c>
      <c r="H370" t="s">
        <v>8</v>
      </c>
      <c r="I370" t="s">
        <v>46</v>
      </c>
      <c r="J370" t="s">
        <v>18</v>
      </c>
      <c r="K370" t="s">
        <v>548</v>
      </c>
      <c r="L370" t="s">
        <v>550</v>
      </c>
    </row>
    <row r="371" spans="1:12" x14ac:dyDescent="0.3">
      <c r="A371" t="s">
        <v>269</v>
      </c>
      <c r="B371">
        <v>34</v>
      </c>
      <c r="C371">
        <v>13</v>
      </c>
      <c r="D371">
        <v>68</v>
      </c>
      <c r="E371">
        <f>SUM(Details[[#This Row],[Actual_Cost]],Details[[#This Row],[Profit]])</f>
        <v>81</v>
      </c>
      <c r="F371">
        <v>2</v>
      </c>
      <c r="G371">
        <f>PRODUCT(Details[[#This Row],[Selling_Cost]],Details[[#This Row],[Quantity]])</f>
        <v>162</v>
      </c>
      <c r="H371" t="s">
        <v>8</v>
      </c>
      <c r="I371" t="s">
        <v>9</v>
      </c>
      <c r="J371" t="s">
        <v>10</v>
      </c>
      <c r="K371" t="s">
        <v>610</v>
      </c>
      <c r="L371" t="s">
        <v>563</v>
      </c>
    </row>
    <row r="372" spans="1:12" x14ac:dyDescent="0.3">
      <c r="A372" t="s">
        <v>239</v>
      </c>
      <c r="B372">
        <v>60</v>
      </c>
      <c r="C372">
        <v>13</v>
      </c>
      <c r="D372">
        <v>120</v>
      </c>
      <c r="E372">
        <f>SUM(Details[[#This Row],[Actual_Cost]],Details[[#This Row],[Profit]])</f>
        <v>133</v>
      </c>
      <c r="F372">
        <v>2</v>
      </c>
      <c r="G372">
        <f>PRODUCT(Details[[#This Row],[Selling_Cost]],Details[[#This Row],[Quantity]])</f>
        <v>266</v>
      </c>
      <c r="H372" t="s">
        <v>8</v>
      </c>
      <c r="I372" t="s">
        <v>46</v>
      </c>
      <c r="J372" t="s">
        <v>10</v>
      </c>
      <c r="K372" t="s">
        <v>552</v>
      </c>
      <c r="L372" t="s">
        <v>541</v>
      </c>
    </row>
    <row r="373" spans="1:12" x14ac:dyDescent="0.3">
      <c r="A373" t="s">
        <v>78</v>
      </c>
      <c r="B373">
        <v>82</v>
      </c>
      <c r="C373">
        <v>13</v>
      </c>
      <c r="D373">
        <v>164</v>
      </c>
      <c r="E373">
        <f>SUM(Details[[#This Row],[Actual_Cost]],Details[[#This Row],[Profit]])</f>
        <v>177</v>
      </c>
      <c r="F373">
        <v>2</v>
      </c>
      <c r="G373">
        <f>PRODUCT(Details[[#This Row],[Selling_Cost]],Details[[#This Row],[Quantity]])</f>
        <v>354</v>
      </c>
      <c r="H373" t="s">
        <v>8</v>
      </c>
      <c r="I373" t="s">
        <v>61</v>
      </c>
      <c r="J373" t="s">
        <v>10</v>
      </c>
      <c r="K373" t="s">
        <v>548</v>
      </c>
      <c r="L373" t="s">
        <v>567</v>
      </c>
    </row>
    <row r="374" spans="1:12" x14ac:dyDescent="0.3">
      <c r="A374" t="s">
        <v>236</v>
      </c>
      <c r="B374">
        <v>85</v>
      </c>
      <c r="C374">
        <v>13</v>
      </c>
      <c r="D374">
        <v>170</v>
      </c>
      <c r="E374">
        <f>SUM(Details[[#This Row],[Actual_Cost]],Details[[#This Row],[Profit]])</f>
        <v>183</v>
      </c>
      <c r="F374">
        <v>2</v>
      </c>
      <c r="G374">
        <f>PRODUCT(Details[[#This Row],[Selling_Cost]],Details[[#This Row],[Quantity]])</f>
        <v>366</v>
      </c>
      <c r="H374" t="s">
        <v>8</v>
      </c>
      <c r="I374" t="s">
        <v>61</v>
      </c>
      <c r="J374" t="s">
        <v>18</v>
      </c>
      <c r="K374" t="s">
        <v>578</v>
      </c>
      <c r="L374" t="s">
        <v>544</v>
      </c>
    </row>
    <row r="375" spans="1:12" x14ac:dyDescent="0.3">
      <c r="A375" t="s">
        <v>121</v>
      </c>
      <c r="B375">
        <v>102</v>
      </c>
      <c r="C375">
        <v>13</v>
      </c>
      <c r="D375">
        <v>204</v>
      </c>
      <c r="E375">
        <f>SUM(Details[[#This Row],[Actual_Cost]],Details[[#This Row],[Profit]])</f>
        <v>217</v>
      </c>
      <c r="F375">
        <v>2</v>
      </c>
      <c r="G375">
        <f>PRODUCT(Details[[#This Row],[Selling_Cost]],Details[[#This Row],[Quantity]])</f>
        <v>434</v>
      </c>
      <c r="H375" t="s">
        <v>8</v>
      </c>
      <c r="I375" t="s">
        <v>29</v>
      </c>
      <c r="J375" t="s">
        <v>27</v>
      </c>
      <c r="K375" t="s">
        <v>632</v>
      </c>
      <c r="L375" t="s">
        <v>546</v>
      </c>
    </row>
    <row r="376" spans="1:12" x14ac:dyDescent="0.3">
      <c r="A376" t="s">
        <v>270</v>
      </c>
      <c r="B376">
        <v>35</v>
      </c>
      <c r="C376">
        <v>14</v>
      </c>
      <c r="D376">
        <v>70</v>
      </c>
      <c r="E376">
        <f>SUM(Details[[#This Row],[Actual_Cost]],Details[[#This Row],[Profit]])</f>
        <v>84</v>
      </c>
      <c r="F376">
        <v>2</v>
      </c>
      <c r="G376">
        <f>PRODUCT(Details[[#This Row],[Selling_Cost]],Details[[#This Row],[Quantity]])</f>
        <v>168</v>
      </c>
      <c r="H376" t="s">
        <v>8</v>
      </c>
      <c r="I376" t="s">
        <v>29</v>
      </c>
      <c r="J376" t="s">
        <v>27</v>
      </c>
      <c r="K376" t="s">
        <v>596</v>
      </c>
      <c r="L376" t="s">
        <v>563</v>
      </c>
    </row>
    <row r="377" spans="1:12" x14ac:dyDescent="0.3">
      <c r="A377" t="s">
        <v>271</v>
      </c>
      <c r="B377">
        <v>51</v>
      </c>
      <c r="C377">
        <v>14</v>
      </c>
      <c r="D377">
        <v>102</v>
      </c>
      <c r="E377">
        <f>SUM(Details[[#This Row],[Actual_Cost]],Details[[#This Row],[Profit]])</f>
        <v>116</v>
      </c>
      <c r="F377">
        <v>2</v>
      </c>
      <c r="G377">
        <f>PRODUCT(Details[[#This Row],[Selling_Cost]],Details[[#This Row],[Quantity]])</f>
        <v>232</v>
      </c>
      <c r="H377" t="s">
        <v>8</v>
      </c>
      <c r="I377" t="s">
        <v>29</v>
      </c>
      <c r="J377" t="s">
        <v>10</v>
      </c>
      <c r="K377" t="s">
        <v>581</v>
      </c>
      <c r="L377" t="s">
        <v>567</v>
      </c>
    </row>
    <row r="378" spans="1:12" x14ac:dyDescent="0.3">
      <c r="A378" t="s">
        <v>110</v>
      </c>
      <c r="B378">
        <v>52</v>
      </c>
      <c r="C378">
        <v>14</v>
      </c>
      <c r="D378">
        <v>104</v>
      </c>
      <c r="E378">
        <f>SUM(Details[[#This Row],[Actual_Cost]],Details[[#This Row],[Profit]])</f>
        <v>118</v>
      </c>
      <c r="F378">
        <v>2</v>
      </c>
      <c r="G378">
        <f>PRODUCT(Details[[#This Row],[Selling_Cost]],Details[[#This Row],[Quantity]])</f>
        <v>236</v>
      </c>
      <c r="H378" t="s">
        <v>8</v>
      </c>
      <c r="I378" t="s">
        <v>29</v>
      </c>
      <c r="J378" t="s">
        <v>10</v>
      </c>
      <c r="K378" t="s">
        <v>578</v>
      </c>
      <c r="L378" t="s">
        <v>544</v>
      </c>
    </row>
    <row r="379" spans="1:12" x14ac:dyDescent="0.3">
      <c r="A379" t="s">
        <v>263</v>
      </c>
      <c r="B379">
        <v>63</v>
      </c>
      <c r="C379">
        <v>14</v>
      </c>
      <c r="D379">
        <v>126</v>
      </c>
      <c r="E379">
        <f>SUM(Details[[#This Row],[Actual_Cost]],Details[[#This Row],[Profit]])</f>
        <v>140</v>
      </c>
      <c r="F379">
        <v>2</v>
      </c>
      <c r="G379">
        <f>PRODUCT(Details[[#This Row],[Selling_Cost]],Details[[#This Row],[Quantity]])</f>
        <v>280</v>
      </c>
      <c r="H379" t="s">
        <v>8</v>
      </c>
      <c r="I379" t="s">
        <v>61</v>
      </c>
      <c r="J379" t="s">
        <v>10</v>
      </c>
      <c r="K379" t="s">
        <v>552</v>
      </c>
      <c r="L379" t="s">
        <v>546</v>
      </c>
    </row>
    <row r="380" spans="1:12" x14ac:dyDescent="0.3">
      <c r="A380" t="s">
        <v>272</v>
      </c>
      <c r="B380">
        <v>97</v>
      </c>
      <c r="C380">
        <v>14</v>
      </c>
      <c r="D380">
        <v>194</v>
      </c>
      <c r="E380">
        <f>SUM(Details[[#This Row],[Actual_Cost]],Details[[#This Row],[Profit]])</f>
        <v>208</v>
      </c>
      <c r="F380">
        <v>2</v>
      </c>
      <c r="G380">
        <f>PRODUCT(Details[[#This Row],[Selling_Cost]],Details[[#This Row],[Quantity]])</f>
        <v>416</v>
      </c>
      <c r="H380" t="s">
        <v>8</v>
      </c>
      <c r="I380" t="s">
        <v>46</v>
      </c>
      <c r="J380" t="s">
        <v>27</v>
      </c>
      <c r="K380" t="s">
        <v>569</v>
      </c>
      <c r="L380" t="s">
        <v>541</v>
      </c>
    </row>
    <row r="381" spans="1:12" x14ac:dyDescent="0.3">
      <c r="A381" t="s">
        <v>102</v>
      </c>
      <c r="B381">
        <v>53</v>
      </c>
      <c r="C381">
        <v>15</v>
      </c>
      <c r="D381">
        <v>106</v>
      </c>
      <c r="E381">
        <f>SUM(Details[[#This Row],[Actual_Cost]],Details[[#This Row],[Profit]])</f>
        <v>121</v>
      </c>
      <c r="F381">
        <v>2</v>
      </c>
      <c r="G381">
        <f>PRODUCT(Details[[#This Row],[Selling_Cost]],Details[[#This Row],[Quantity]])</f>
        <v>242</v>
      </c>
      <c r="H381" t="s">
        <v>8</v>
      </c>
      <c r="I381" t="s">
        <v>29</v>
      </c>
      <c r="J381" t="s">
        <v>10</v>
      </c>
      <c r="K381" t="s">
        <v>552</v>
      </c>
      <c r="L381" t="s">
        <v>554</v>
      </c>
    </row>
    <row r="382" spans="1:12" x14ac:dyDescent="0.3">
      <c r="A382" t="s">
        <v>273</v>
      </c>
      <c r="B382">
        <v>59</v>
      </c>
      <c r="C382">
        <v>15</v>
      </c>
      <c r="D382">
        <v>118</v>
      </c>
      <c r="E382">
        <f>SUM(Details[[#This Row],[Actual_Cost]],Details[[#This Row],[Profit]])</f>
        <v>133</v>
      </c>
      <c r="F382">
        <v>2</v>
      </c>
      <c r="G382">
        <f>PRODUCT(Details[[#This Row],[Selling_Cost]],Details[[#This Row],[Quantity]])</f>
        <v>266</v>
      </c>
      <c r="H382" t="s">
        <v>8</v>
      </c>
      <c r="I382" t="s">
        <v>46</v>
      </c>
      <c r="J382" t="s">
        <v>18</v>
      </c>
      <c r="K382" t="s">
        <v>641</v>
      </c>
      <c r="L382" t="s">
        <v>541</v>
      </c>
    </row>
    <row r="383" spans="1:12" x14ac:dyDescent="0.3">
      <c r="A383" t="s">
        <v>222</v>
      </c>
      <c r="B383">
        <v>93</v>
      </c>
      <c r="C383">
        <v>15</v>
      </c>
      <c r="D383">
        <v>186</v>
      </c>
      <c r="E383">
        <f>SUM(Details[[#This Row],[Actual_Cost]],Details[[#This Row],[Profit]])</f>
        <v>201</v>
      </c>
      <c r="F383">
        <v>2</v>
      </c>
      <c r="G383">
        <f>PRODUCT(Details[[#This Row],[Selling_Cost]],Details[[#This Row],[Quantity]])</f>
        <v>402</v>
      </c>
      <c r="H383" t="s">
        <v>13</v>
      </c>
      <c r="I383" t="s">
        <v>55</v>
      </c>
      <c r="J383" t="s">
        <v>10</v>
      </c>
      <c r="K383" t="s">
        <v>581</v>
      </c>
      <c r="L383" t="s">
        <v>563</v>
      </c>
    </row>
    <row r="384" spans="1:12" x14ac:dyDescent="0.3">
      <c r="A384" t="s">
        <v>274</v>
      </c>
      <c r="B384">
        <v>112</v>
      </c>
      <c r="C384">
        <v>15</v>
      </c>
      <c r="D384">
        <v>224</v>
      </c>
      <c r="E384">
        <f>SUM(Details[[#This Row],[Actual_Cost]],Details[[#This Row],[Profit]])</f>
        <v>239</v>
      </c>
      <c r="F384">
        <v>2</v>
      </c>
      <c r="G384">
        <f>PRODUCT(Details[[#This Row],[Selling_Cost]],Details[[#This Row],[Quantity]])</f>
        <v>478</v>
      </c>
      <c r="H384" t="s">
        <v>16</v>
      </c>
      <c r="I384" t="s">
        <v>23</v>
      </c>
      <c r="J384" t="s">
        <v>10</v>
      </c>
      <c r="K384" t="s">
        <v>548</v>
      </c>
      <c r="L384" t="s">
        <v>563</v>
      </c>
    </row>
    <row r="385" spans="1:12" x14ac:dyDescent="0.3">
      <c r="A385" t="s">
        <v>261</v>
      </c>
      <c r="B385">
        <v>72</v>
      </c>
      <c r="C385">
        <v>16</v>
      </c>
      <c r="D385">
        <v>144</v>
      </c>
      <c r="E385">
        <f>SUM(Details[[#This Row],[Actual_Cost]],Details[[#This Row],[Profit]])</f>
        <v>160</v>
      </c>
      <c r="F385">
        <v>2</v>
      </c>
      <c r="G385">
        <f>PRODUCT(Details[[#This Row],[Selling_Cost]],Details[[#This Row],[Quantity]])</f>
        <v>320</v>
      </c>
      <c r="H385" t="s">
        <v>8</v>
      </c>
      <c r="I385" t="s">
        <v>61</v>
      </c>
      <c r="J385" t="s">
        <v>10</v>
      </c>
      <c r="K385" t="s">
        <v>552</v>
      </c>
      <c r="L385" t="s">
        <v>541</v>
      </c>
    </row>
    <row r="386" spans="1:12" x14ac:dyDescent="0.3">
      <c r="A386" t="s">
        <v>275</v>
      </c>
      <c r="B386">
        <v>87</v>
      </c>
      <c r="C386">
        <v>16</v>
      </c>
      <c r="D386">
        <v>174</v>
      </c>
      <c r="E386">
        <f>SUM(Details[[#This Row],[Actual_Cost]],Details[[#This Row],[Profit]])</f>
        <v>190</v>
      </c>
      <c r="F386">
        <v>2</v>
      </c>
      <c r="G386">
        <f>PRODUCT(Details[[#This Row],[Selling_Cost]],Details[[#This Row],[Quantity]])</f>
        <v>380</v>
      </c>
      <c r="H386" t="s">
        <v>8</v>
      </c>
      <c r="I386" t="s">
        <v>9</v>
      </c>
      <c r="J386" t="s">
        <v>18</v>
      </c>
      <c r="K386" t="s">
        <v>548</v>
      </c>
      <c r="L386" t="s">
        <v>554</v>
      </c>
    </row>
    <row r="387" spans="1:12" x14ac:dyDescent="0.3">
      <c r="A387" t="s">
        <v>276</v>
      </c>
      <c r="B387">
        <v>40</v>
      </c>
      <c r="C387">
        <v>17</v>
      </c>
      <c r="D387">
        <v>80</v>
      </c>
      <c r="E387">
        <f>SUM(Details[[#This Row],[Actual_Cost]],Details[[#This Row],[Profit]])</f>
        <v>97</v>
      </c>
      <c r="F387">
        <v>2</v>
      </c>
      <c r="G387">
        <f>PRODUCT(Details[[#This Row],[Selling_Cost]],Details[[#This Row],[Quantity]])</f>
        <v>194</v>
      </c>
      <c r="H387" t="s">
        <v>8</v>
      </c>
      <c r="I387" t="s">
        <v>29</v>
      </c>
      <c r="J387" t="s">
        <v>10</v>
      </c>
      <c r="K387" t="s">
        <v>587</v>
      </c>
      <c r="L387" t="s">
        <v>541</v>
      </c>
    </row>
    <row r="388" spans="1:12" x14ac:dyDescent="0.3">
      <c r="A388" t="s">
        <v>229</v>
      </c>
      <c r="B388">
        <v>43</v>
      </c>
      <c r="C388">
        <v>17</v>
      </c>
      <c r="D388">
        <v>86</v>
      </c>
      <c r="E388">
        <f>SUM(Details[[#This Row],[Actual_Cost]],Details[[#This Row],[Profit]])</f>
        <v>103</v>
      </c>
      <c r="F388">
        <v>2</v>
      </c>
      <c r="G388">
        <f>PRODUCT(Details[[#This Row],[Selling_Cost]],Details[[#This Row],[Quantity]])</f>
        <v>206</v>
      </c>
      <c r="H388" t="s">
        <v>8</v>
      </c>
      <c r="I388" t="s">
        <v>46</v>
      </c>
      <c r="J388" t="s">
        <v>18</v>
      </c>
      <c r="K388" t="s">
        <v>605</v>
      </c>
      <c r="L388" t="s">
        <v>541</v>
      </c>
    </row>
    <row r="389" spans="1:12" x14ac:dyDescent="0.3">
      <c r="A389" t="s">
        <v>277</v>
      </c>
      <c r="B389">
        <v>58</v>
      </c>
      <c r="C389">
        <v>17</v>
      </c>
      <c r="D389">
        <v>116</v>
      </c>
      <c r="E389">
        <f>SUM(Details[[#This Row],[Actual_Cost]],Details[[#This Row],[Profit]])</f>
        <v>133</v>
      </c>
      <c r="F389">
        <v>2</v>
      </c>
      <c r="G389">
        <f>PRODUCT(Details[[#This Row],[Selling_Cost]],Details[[#This Row],[Quantity]])</f>
        <v>266</v>
      </c>
      <c r="H389" t="s">
        <v>8</v>
      </c>
      <c r="I389" t="s">
        <v>48</v>
      </c>
      <c r="J389" t="s">
        <v>10</v>
      </c>
      <c r="K389" t="s">
        <v>587</v>
      </c>
      <c r="L389" t="s">
        <v>546</v>
      </c>
    </row>
    <row r="390" spans="1:12" x14ac:dyDescent="0.3">
      <c r="A390" t="s">
        <v>278</v>
      </c>
      <c r="B390">
        <v>65</v>
      </c>
      <c r="C390">
        <v>17</v>
      </c>
      <c r="D390">
        <v>130</v>
      </c>
      <c r="E390">
        <f>SUM(Details[[#This Row],[Actual_Cost]],Details[[#This Row],[Profit]])</f>
        <v>147</v>
      </c>
      <c r="F390">
        <v>2</v>
      </c>
      <c r="G390">
        <f>PRODUCT(Details[[#This Row],[Selling_Cost]],Details[[#This Row],[Quantity]])</f>
        <v>294</v>
      </c>
      <c r="H390" t="s">
        <v>8</v>
      </c>
      <c r="I390" t="s">
        <v>46</v>
      </c>
      <c r="J390" t="s">
        <v>18</v>
      </c>
      <c r="K390" t="s">
        <v>607</v>
      </c>
      <c r="L390" t="s">
        <v>565</v>
      </c>
    </row>
    <row r="391" spans="1:12" x14ac:dyDescent="0.3">
      <c r="A391" t="s">
        <v>279</v>
      </c>
      <c r="B391">
        <v>89</v>
      </c>
      <c r="C391">
        <v>17</v>
      </c>
      <c r="D391">
        <v>178</v>
      </c>
      <c r="E391">
        <f>SUM(Details[[#This Row],[Actual_Cost]],Details[[#This Row],[Profit]])</f>
        <v>195</v>
      </c>
      <c r="F391">
        <v>2</v>
      </c>
      <c r="G391">
        <f>PRODUCT(Details[[#This Row],[Selling_Cost]],Details[[#This Row],[Quantity]])</f>
        <v>390</v>
      </c>
      <c r="H391" t="s">
        <v>8</v>
      </c>
      <c r="I391" t="s">
        <v>29</v>
      </c>
      <c r="J391" t="s">
        <v>18</v>
      </c>
      <c r="K391" t="s">
        <v>607</v>
      </c>
      <c r="L391" t="s">
        <v>567</v>
      </c>
    </row>
    <row r="392" spans="1:12" x14ac:dyDescent="0.3">
      <c r="A392" t="s">
        <v>124</v>
      </c>
      <c r="B392">
        <v>97</v>
      </c>
      <c r="C392">
        <v>17</v>
      </c>
      <c r="D392">
        <v>194</v>
      </c>
      <c r="E392">
        <f>SUM(Details[[#This Row],[Actual_Cost]],Details[[#This Row],[Profit]])</f>
        <v>211</v>
      </c>
      <c r="F392">
        <v>2</v>
      </c>
      <c r="G392">
        <f>PRODUCT(Details[[#This Row],[Selling_Cost]],Details[[#This Row],[Quantity]])</f>
        <v>422</v>
      </c>
      <c r="H392" t="s">
        <v>8</v>
      </c>
      <c r="I392" t="s">
        <v>29</v>
      </c>
      <c r="J392" t="s">
        <v>27</v>
      </c>
      <c r="K392" t="s">
        <v>561</v>
      </c>
      <c r="L392" t="s">
        <v>567</v>
      </c>
    </row>
    <row r="393" spans="1:12" x14ac:dyDescent="0.3">
      <c r="A393" t="s">
        <v>280</v>
      </c>
      <c r="B393">
        <v>97</v>
      </c>
      <c r="C393">
        <v>17</v>
      </c>
      <c r="D393">
        <v>194</v>
      </c>
      <c r="E393">
        <f>SUM(Details[[#This Row],[Actual_Cost]],Details[[#This Row],[Profit]])</f>
        <v>211</v>
      </c>
      <c r="F393">
        <v>2</v>
      </c>
      <c r="G393">
        <f>PRODUCT(Details[[#This Row],[Selling_Cost]],Details[[#This Row],[Quantity]])</f>
        <v>422</v>
      </c>
      <c r="H393" t="s">
        <v>8</v>
      </c>
      <c r="I393" t="s">
        <v>29</v>
      </c>
      <c r="J393" t="s">
        <v>27</v>
      </c>
      <c r="K393" t="s">
        <v>548</v>
      </c>
      <c r="L393" t="s">
        <v>585</v>
      </c>
    </row>
    <row r="394" spans="1:12" x14ac:dyDescent="0.3">
      <c r="A394" t="s">
        <v>281</v>
      </c>
      <c r="B394">
        <v>52</v>
      </c>
      <c r="C394">
        <v>18</v>
      </c>
      <c r="D394">
        <v>104</v>
      </c>
      <c r="E394">
        <f>SUM(Details[[#This Row],[Actual_Cost]],Details[[#This Row],[Profit]])</f>
        <v>122</v>
      </c>
      <c r="F394">
        <v>2</v>
      </c>
      <c r="G394">
        <f>PRODUCT(Details[[#This Row],[Selling_Cost]],Details[[#This Row],[Quantity]])</f>
        <v>244</v>
      </c>
      <c r="H394" t="s">
        <v>8</v>
      </c>
      <c r="I394" t="s">
        <v>29</v>
      </c>
      <c r="J394" t="s">
        <v>10</v>
      </c>
      <c r="K394" t="s">
        <v>569</v>
      </c>
      <c r="L394" t="s">
        <v>550</v>
      </c>
    </row>
    <row r="395" spans="1:12" x14ac:dyDescent="0.3">
      <c r="A395" t="s">
        <v>282</v>
      </c>
      <c r="B395">
        <v>55</v>
      </c>
      <c r="C395">
        <v>18</v>
      </c>
      <c r="D395">
        <v>110</v>
      </c>
      <c r="E395">
        <f>SUM(Details[[#This Row],[Actual_Cost]],Details[[#This Row],[Profit]])</f>
        <v>128</v>
      </c>
      <c r="F395">
        <v>2</v>
      </c>
      <c r="G395">
        <f>PRODUCT(Details[[#This Row],[Selling_Cost]],Details[[#This Row],[Quantity]])</f>
        <v>256</v>
      </c>
      <c r="H395" t="s">
        <v>8</v>
      </c>
      <c r="I395" t="s">
        <v>44</v>
      </c>
      <c r="J395" t="s">
        <v>10</v>
      </c>
      <c r="K395" t="s">
        <v>632</v>
      </c>
      <c r="L395" t="s">
        <v>541</v>
      </c>
    </row>
    <row r="396" spans="1:12" x14ac:dyDescent="0.3">
      <c r="A396" t="s">
        <v>237</v>
      </c>
      <c r="B396">
        <v>56</v>
      </c>
      <c r="C396">
        <v>18</v>
      </c>
      <c r="D396">
        <v>112</v>
      </c>
      <c r="E396">
        <f>SUM(Details[[#This Row],[Actual_Cost]],Details[[#This Row],[Profit]])</f>
        <v>130</v>
      </c>
      <c r="F396">
        <v>2</v>
      </c>
      <c r="G396">
        <f>PRODUCT(Details[[#This Row],[Selling_Cost]],Details[[#This Row],[Quantity]])</f>
        <v>260</v>
      </c>
      <c r="H396" t="s">
        <v>8</v>
      </c>
      <c r="I396" t="s">
        <v>48</v>
      </c>
      <c r="J396" t="s">
        <v>18</v>
      </c>
      <c r="K396" t="s">
        <v>539</v>
      </c>
      <c r="L396" t="s">
        <v>567</v>
      </c>
    </row>
    <row r="397" spans="1:12" x14ac:dyDescent="0.3">
      <c r="A397" t="s">
        <v>89</v>
      </c>
      <c r="B397">
        <v>56</v>
      </c>
      <c r="C397">
        <v>18</v>
      </c>
      <c r="D397">
        <v>112</v>
      </c>
      <c r="E397">
        <f>SUM(Details[[#This Row],[Actual_Cost]],Details[[#This Row],[Profit]])</f>
        <v>130</v>
      </c>
      <c r="F397">
        <v>2</v>
      </c>
      <c r="G397">
        <f>PRODUCT(Details[[#This Row],[Selling_Cost]],Details[[#This Row],[Quantity]])</f>
        <v>260</v>
      </c>
      <c r="H397" t="s">
        <v>8</v>
      </c>
      <c r="I397" t="s">
        <v>48</v>
      </c>
      <c r="J397" t="s">
        <v>42</v>
      </c>
      <c r="K397" t="s">
        <v>548</v>
      </c>
      <c r="L397" t="s">
        <v>624</v>
      </c>
    </row>
    <row r="398" spans="1:12" x14ac:dyDescent="0.3">
      <c r="A398" t="s">
        <v>283</v>
      </c>
      <c r="B398">
        <v>61</v>
      </c>
      <c r="C398">
        <v>18</v>
      </c>
      <c r="D398">
        <v>122</v>
      </c>
      <c r="E398">
        <f>SUM(Details[[#This Row],[Actual_Cost]],Details[[#This Row],[Profit]])</f>
        <v>140</v>
      </c>
      <c r="F398">
        <v>2</v>
      </c>
      <c r="G398">
        <f>PRODUCT(Details[[#This Row],[Selling_Cost]],Details[[#This Row],[Quantity]])</f>
        <v>280</v>
      </c>
      <c r="H398" t="s">
        <v>13</v>
      </c>
      <c r="I398" t="s">
        <v>55</v>
      </c>
      <c r="J398" t="s">
        <v>10</v>
      </c>
      <c r="K398" t="s">
        <v>711</v>
      </c>
      <c r="L398" t="s">
        <v>546</v>
      </c>
    </row>
    <row r="399" spans="1:12" x14ac:dyDescent="0.3">
      <c r="A399" t="s">
        <v>110</v>
      </c>
      <c r="B399">
        <v>41</v>
      </c>
      <c r="C399">
        <v>19</v>
      </c>
      <c r="D399">
        <v>82</v>
      </c>
      <c r="E399">
        <f>SUM(Details[[#This Row],[Actual_Cost]],Details[[#This Row],[Profit]])</f>
        <v>101</v>
      </c>
      <c r="F399">
        <v>2</v>
      </c>
      <c r="G399">
        <f>PRODUCT(Details[[#This Row],[Selling_Cost]],Details[[#This Row],[Quantity]])</f>
        <v>202</v>
      </c>
      <c r="H399" t="s">
        <v>8</v>
      </c>
      <c r="I399" t="s">
        <v>46</v>
      </c>
      <c r="J399" t="s">
        <v>42</v>
      </c>
      <c r="K399" t="s">
        <v>578</v>
      </c>
      <c r="L399" t="s">
        <v>544</v>
      </c>
    </row>
    <row r="400" spans="1:12" x14ac:dyDescent="0.3">
      <c r="A400" t="s">
        <v>148</v>
      </c>
      <c r="B400">
        <v>88</v>
      </c>
      <c r="C400">
        <v>19</v>
      </c>
      <c r="D400">
        <v>176</v>
      </c>
      <c r="E400">
        <f>SUM(Details[[#This Row],[Actual_Cost]],Details[[#This Row],[Profit]])</f>
        <v>195</v>
      </c>
      <c r="F400">
        <v>2</v>
      </c>
      <c r="G400">
        <f>PRODUCT(Details[[#This Row],[Selling_Cost]],Details[[#This Row],[Quantity]])</f>
        <v>390</v>
      </c>
      <c r="H400" t="s">
        <v>8</v>
      </c>
      <c r="I400" t="s">
        <v>61</v>
      </c>
      <c r="J400" t="s">
        <v>42</v>
      </c>
      <c r="K400" t="s">
        <v>548</v>
      </c>
      <c r="L400" t="s">
        <v>541</v>
      </c>
    </row>
    <row r="401" spans="1:12" x14ac:dyDescent="0.3">
      <c r="A401" t="s">
        <v>153</v>
      </c>
      <c r="B401">
        <v>44</v>
      </c>
      <c r="C401">
        <v>20</v>
      </c>
      <c r="D401">
        <v>88</v>
      </c>
      <c r="E401">
        <f>SUM(Details[[#This Row],[Actual_Cost]],Details[[#This Row],[Profit]])</f>
        <v>108</v>
      </c>
      <c r="F401">
        <v>2</v>
      </c>
      <c r="G401">
        <f>PRODUCT(Details[[#This Row],[Selling_Cost]],Details[[#This Row],[Quantity]])</f>
        <v>216</v>
      </c>
      <c r="H401" t="s">
        <v>8</v>
      </c>
      <c r="I401" t="s">
        <v>46</v>
      </c>
      <c r="J401" t="s">
        <v>18</v>
      </c>
      <c r="K401" t="s">
        <v>632</v>
      </c>
      <c r="L401" t="s">
        <v>541</v>
      </c>
    </row>
    <row r="402" spans="1:12" x14ac:dyDescent="0.3">
      <c r="A402" t="s">
        <v>148</v>
      </c>
      <c r="B402">
        <v>88</v>
      </c>
      <c r="C402">
        <v>20</v>
      </c>
      <c r="D402">
        <v>176</v>
      </c>
      <c r="E402">
        <f>SUM(Details[[#This Row],[Actual_Cost]],Details[[#This Row],[Profit]])</f>
        <v>196</v>
      </c>
      <c r="F402">
        <v>2</v>
      </c>
      <c r="G402">
        <f>PRODUCT(Details[[#This Row],[Selling_Cost]],Details[[#This Row],[Quantity]])</f>
        <v>392</v>
      </c>
      <c r="H402" t="s">
        <v>8</v>
      </c>
      <c r="I402" t="s">
        <v>9</v>
      </c>
      <c r="J402" t="s">
        <v>10</v>
      </c>
      <c r="K402" t="s">
        <v>548</v>
      </c>
      <c r="L402" t="s">
        <v>541</v>
      </c>
    </row>
    <row r="403" spans="1:12" x14ac:dyDescent="0.3">
      <c r="A403" t="s">
        <v>265</v>
      </c>
      <c r="B403">
        <v>94</v>
      </c>
      <c r="C403">
        <v>20</v>
      </c>
      <c r="D403">
        <v>188</v>
      </c>
      <c r="E403">
        <f>SUM(Details[[#This Row],[Actual_Cost]],Details[[#This Row],[Profit]])</f>
        <v>208</v>
      </c>
      <c r="F403">
        <v>2</v>
      </c>
      <c r="G403">
        <f>PRODUCT(Details[[#This Row],[Selling_Cost]],Details[[#This Row],[Quantity]])</f>
        <v>416</v>
      </c>
      <c r="H403" t="s">
        <v>16</v>
      </c>
      <c r="I403" t="s">
        <v>32</v>
      </c>
      <c r="J403" t="s">
        <v>18</v>
      </c>
      <c r="K403" t="s">
        <v>552</v>
      </c>
      <c r="L403" t="s">
        <v>563</v>
      </c>
    </row>
    <row r="404" spans="1:12" x14ac:dyDescent="0.3">
      <c r="A404" t="s">
        <v>284</v>
      </c>
      <c r="B404">
        <v>105</v>
      </c>
      <c r="C404">
        <v>20</v>
      </c>
      <c r="D404">
        <v>210</v>
      </c>
      <c r="E404">
        <f>SUM(Details[[#This Row],[Actual_Cost]],Details[[#This Row],[Profit]])</f>
        <v>230</v>
      </c>
      <c r="F404">
        <v>2</v>
      </c>
      <c r="G404">
        <f>PRODUCT(Details[[#This Row],[Selling_Cost]],Details[[#This Row],[Quantity]])</f>
        <v>460</v>
      </c>
      <c r="H404" t="s">
        <v>8</v>
      </c>
      <c r="I404" t="s">
        <v>29</v>
      </c>
      <c r="J404" t="s">
        <v>42</v>
      </c>
      <c r="K404" t="s">
        <v>632</v>
      </c>
      <c r="L404" t="s">
        <v>565</v>
      </c>
    </row>
    <row r="405" spans="1:12" x14ac:dyDescent="0.3">
      <c r="A405" t="s">
        <v>154</v>
      </c>
      <c r="B405">
        <v>238</v>
      </c>
      <c r="C405">
        <v>20</v>
      </c>
      <c r="D405">
        <v>476</v>
      </c>
      <c r="E405">
        <f>SUM(Details[[#This Row],[Actual_Cost]],Details[[#This Row],[Profit]])</f>
        <v>496</v>
      </c>
      <c r="F405">
        <v>2</v>
      </c>
      <c r="G405">
        <f>PRODUCT(Details[[#This Row],[Selling_Cost]],Details[[#This Row],[Quantity]])</f>
        <v>992</v>
      </c>
      <c r="H405" t="s">
        <v>8</v>
      </c>
      <c r="I405" t="s">
        <v>9</v>
      </c>
      <c r="J405" t="s">
        <v>10</v>
      </c>
      <c r="K405" t="s">
        <v>548</v>
      </c>
      <c r="L405" t="s">
        <v>624</v>
      </c>
    </row>
    <row r="406" spans="1:12" x14ac:dyDescent="0.3">
      <c r="A406" t="s">
        <v>285</v>
      </c>
      <c r="B406">
        <v>59</v>
      </c>
      <c r="C406">
        <v>21</v>
      </c>
      <c r="D406">
        <v>118</v>
      </c>
      <c r="E406">
        <f>SUM(Details[[#This Row],[Actual_Cost]],Details[[#This Row],[Profit]])</f>
        <v>139</v>
      </c>
      <c r="F406">
        <v>2</v>
      </c>
      <c r="G406">
        <f>PRODUCT(Details[[#This Row],[Selling_Cost]],Details[[#This Row],[Quantity]])</f>
        <v>278</v>
      </c>
      <c r="H406" t="s">
        <v>8</v>
      </c>
      <c r="I406" t="s">
        <v>29</v>
      </c>
      <c r="J406" t="s">
        <v>42</v>
      </c>
      <c r="K406" t="s">
        <v>605</v>
      </c>
      <c r="L406" t="s">
        <v>544</v>
      </c>
    </row>
    <row r="407" spans="1:12" x14ac:dyDescent="0.3">
      <c r="A407" t="s">
        <v>286</v>
      </c>
      <c r="B407">
        <v>59</v>
      </c>
      <c r="C407">
        <v>21</v>
      </c>
      <c r="D407">
        <v>118</v>
      </c>
      <c r="E407">
        <f>SUM(Details[[#This Row],[Actual_Cost]],Details[[#This Row],[Profit]])</f>
        <v>139</v>
      </c>
      <c r="F407">
        <v>2</v>
      </c>
      <c r="G407">
        <f>PRODUCT(Details[[#This Row],[Selling_Cost]],Details[[#This Row],[Quantity]])</f>
        <v>278</v>
      </c>
      <c r="H407" t="s">
        <v>8</v>
      </c>
      <c r="I407" t="s">
        <v>29</v>
      </c>
      <c r="J407" t="s">
        <v>18</v>
      </c>
      <c r="K407" t="s">
        <v>578</v>
      </c>
      <c r="L407" t="s">
        <v>563</v>
      </c>
    </row>
    <row r="408" spans="1:12" x14ac:dyDescent="0.3">
      <c r="A408" t="s">
        <v>287</v>
      </c>
      <c r="B408">
        <v>86</v>
      </c>
      <c r="C408">
        <v>22</v>
      </c>
      <c r="D408">
        <v>172</v>
      </c>
      <c r="E408">
        <f>SUM(Details[[#This Row],[Actual_Cost]],Details[[#This Row],[Profit]])</f>
        <v>194</v>
      </c>
      <c r="F408">
        <v>2</v>
      </c>
      <c r="G408">
        <f>PRODUCT(Details[[#This Row],[Selling_Cost]],Details[[#This Row],[Quantity]])</f>
        <v>388</v>
      </c>
      <c r="H408" t="s">
        <v>8</v>
      </c>
      <c r="I408" t="s">
        <v>9</v>
      </c>
      <c r="J408" t="s">
        <v>42</v>
      </c>
      <c r="K408" t="s">
        <v>548</v>
      </c>
      <c r="L408" t="s">
        <v>541</v>
      </c>
    </row>
    <row r="409" spans="1:12" x14ac:dyDescent="0.3">
      <c r="A409" t="s">
        <v>276</v>
      </c>
      <c r="B409">
        <v>86</v>
      </c>
      <c r="C409">
        <v>22</v>
      </c>
      <c r="D409">
        <v>172</v>
      </c>
      <c r="E409">
        <f>SUM(Details[[#This Row],[Actual_Cost]],Details[[#This Row],[Profit]])</f>
        <v>194</v>
      </c>
      <c r="F409">
        <v>2</v>
      </c>
      <c r="G409">
        <f>PRODUCT(Details[[#This Row],[Selling_Cost]],Details[[#This Row],[Quantity]])</f>
        <v>388</v>
      </c>
      <c r="H409" t="s">
        <v>8</v>
      </c>
      <c r="I409" t="s">
        <v>9</v>
      </c>
      <c r="J409" t="s">
        <v>10</v>
      </c>
      <c r="K409" t="s">
        <v>587</v>
      </c>
      <c r="L409" t="s">
        <v>541</v>
      </c>
    </row>
    <row r="410" spans="1:12" x14ac:dyDescent="0.3">
      <c r="A410" t="s">
        <v>239</v>
      </c>
      <c r="B410">
        <v>91</v>
      </c>
      <c r="C410">
        <v>22</v>
      </c>
      <c r="D410">
        <v>182</v>
      </c>
      <c r="E410">
        <f>SUM(Details[[#This Row],[Actual_Cost]],Details[[#This Row],[Profit]])</f>
        <v>204</v>
      </c>
      <c r="F410">
        <v>2</v>
      </c>
      <c r="G410">
        <f>PRODUCT(Details[[#This Row],[Selling_Cost]],Details[[#This Row],[Quantity]])</f>
        <v>408</v>
      </c>
      <c r="H410" t="s">
        <v>8</v>
      </c>
      <c r="I410" t="s">
        <v>29</v>
      </c>
      <c r="J410" t="s">
        <v>18</v>
      </c>
      <c r="K410" t="s">
        <v>552</v>
      </c>
      <c r="L410" t="s">
        <v>541</v>
      </c>
    </row>
    <row r="411" spans="1:12" x14ac:dyDescent="0.3">
      <c r="A411" t="s">
        <v>288</v>
      </c>
      <c r="B411">
        <v>105</v>
      </c>
      <c r="C411">
        <v>25</v>
      </c>
      <c r="D411">
        <v>210</v>
      </c>
      <c r="E411">
        <f>SUM(Details[[#This Row],[Actual_Cost]],Details[[#This Row],[Profit]])</f>
        <v>235</v>
      </c>
      <c r="F411">
        <v>2</v>
      </c>
      <c r="G411">
        <f>PRODUCT(Details[[#This Row],[Selling_Cost]],Details[[#This Row],[Quantity]])</f>
        <v>470</v>
      </c>
      <c r="H411" t="s">
        <v>8</v>
      </c>
      <c r="I411" t="s">
        <v>48</v>
      </c>
      <c r="J411" t="s">
        <v>125</v>
      </c>
      <c r="K411" t="s">
        <v>632</v>
      </c>
      <c r="L411" t="s">
        <v>546</v>
      </c>
    </row>
    <row r="412" spans="1:12" x14ac:dyDescent="0.3">
      <c r="A412" t="s">
        <v>95</v>
      </c>
      <c r="B412">
        <v>54</v>
      </c>
      <c r="C412">
        <v>27</v>
      </c>
      <c r="D412">
        <v>108</v>
      </c>
      <c r="E412">
        <f>SUM(Details[[#This Row],[Actual_Cost]],Details[[#This Row],[Profit]])</f>
        <v>135</v>
      </c>
      <c r="F412">
        <v>2</v>
      </c>
      <c r="G412">
        <f>PRODUCT(Details[[#This Row],[Selling_Cost]],Details[[#This Row],[Quantity]])</f>
        <v>270</v>
      </c>
      <c r="H412" t="s">
        <v>8</v>
      </c>
      <c r="I412" t="s">
        <v>29</v>
      </c>
      <c r="J412" t="s">
        <v>10</v>
      </c>
      <c r="K412" t="s">
        <v>552</v>
      </c>
      <c r="L412" t="s">
        <v>546</v>
      </c>
    </row>
    <row r="413" spans="1:12" x14ac:dyDescent="0.3">
      <c r="A413" t="s">
        <v>289</v>
      </c>
      <c r="B413">
        <v>57</v>
      </c>
      <c r="C413">
        <v>27</v>
      </c>
      <c r="D413">
        <v>114</v>
      </c>
      <c r="E413">
        <f>SUM(Details[[#This Row],[Actual_Cost]],Details[[#This Row],[Profit]])</f>
        <v>141</v>
      </c>
      <c r="F413">
        <v>2</v>
      </c>
      <c r="G413">
        <f>PRODUCT(Details[[#This Row],[Selling_Cost]],Details[[#This Row],[Quantity]])</f>
        <v>282</v>
      </c>
      <c r="H413" t="s">
        <v>8</v>
      </c>
      <c r="I413" t="s">
        <v>61</v>
      </c>
      <c r="J413" t="s">
        <v>10</v>
      </c>
      <c r="K413" t="s">
        <v>548</v>
      </c>
      <c r="L413" t="s">
        <v>567</v>
      </c>
    </row>
    <row r="414" spans="1:12" x14ac:dyDescent="0.3">
      <c r="A414" t="s">
        <v>219</v>
      </c>
      <c r="B414">
        <v>57</v>
      </c>
      <c r="C414">
        <v>27</v>
      </c>
      <c r="D414">
        <v>114</v>
      </c>
      <c r="E414">
        <f>SUM(Details[[#This Row],[Actual_Cost]],Details[[#This Row],[Profit]])</f>
        <v>141</v>
      </c>
      <c r="F414">
        <v>2</v>
      </c>
      <c r="G414">
        <f>PRODUCT(Details[[#This Row],[Selling_Cost]],Details[[#This Row],[Quantity]])</f>
        <v>282</v>
      </c>
      <c r="H414" t="s">
        <v>8</v>
      </c>
      <c r="I414" t="s">
        <v>61</v>
      </c>
      <c r="J414" t="s">
        <v>18</v>
      </c>
      <c r="K414" t="s">
        <v>552</v>
      </c>
      <c r="L414" t="s">
        <v>546</v>
      </c>
    </row>
    <row r="415" spans="1:12" x14ac:dyDescent="0.3">
      <c r="A415" t="s">
        <v>224</v>
      </c>
      <c r="B415">
        <v>57</v>
      </c>
      <c r="C415">
        <v>27</v>
      </c>
      <c r="D415">
        <v>114</v>
      </c>
      <c r="E415">
        <f>SUM(Details[[#This Row],[Actual_Cost]],Details[[#This Row],[Profit]])</f>
        <v>141</v>
      </c>
      <c r="F415">
        <v>2</v>
      </c>
      <c r="G415">
        <f>PRODUCT(Details[[#This Row],[Selling_Cost]],Details[[#This Row],[Quantity]])</f>
        <v>282</v>
      </c>
      <c r="H415" t="s">
        <v>8</v>
      </c>
      <c r="I415" t="s">
        <v>46</v>
      </c>
      <c r="J415" t="s">
        <v>10</v>
      </c>
      <c r="K415" t="s">
        <v>596</v>
      </c>
      <c r="L415" t="s">
        <v>567</v>
      </c>
    </row>
    <row r="416" spans="1:12" x14ac:dyDescent="0.3">
      <c r="A416" t="s">
        <v>290</v>
      </c>
      <c r="B416">
        <v>90</v>
      </c>
      <c r="C416">
        <v>27</v>
      </c>
      <c r="D416">
        <v>180</v>
      </c>
      <c r="E416">
        <f>SUM(Details[[#This Row],[Actual_Cost]],Details[[#This Row],[Profit]])</f>
        <v>207</v>
      </c>
      <c r="F416">
        <v>2</v>
      </c>
      <c r="G416">
        <f>PRODUCT(Details[[#This Row],[Selling_Cost]],Details[[#This Row],[Quantity]])</f>
        <v>414</v>
      </c>
      <c r="H416" t="s">
        <v>8</v>
      </c>
      <c r="I416" t="s">
        <v>46</v>
      </c>
      <c r="J416" t="s">
        <v>10</v>
      </c>
      <c r="K416" t="s">
        <v>569</v>
      </c>
      <c r="L416" t="s">
        <v>550</v>
      </c>
    </row>
    <row r="417" spans="1:12" x14ac:dyDescent="0.3">
      <c r="A417" t="s">
        <v>291</v>
      </c>
      <c r="B417">
        <v>94</v>
      </c>
      <c r="C417">
        <v>27</v>
      </c>
      <c r="D417">
        <v>188</v>
      </c>
      <c r="E417">
        <f>SUM(Details[[#This Row],[Actual_Cost]],Details[[#This Row],[Profit]])</f>
        <v>215</v>
      </c>
      <c r="F417">
        <v>2</v>
      </c>
      <c r="G417">
        <f>PRODUCT(Details[[#This Row],[Selling_Cost]],Details[[#This Row],[Quantity]])</f>
        <v>430</v>
      </c>
      <c r="H417" t="s">
        <v>8</v>
      </c>
      <c r="I417" t="s">
        <v>61</v>
      </c>
      <c r="J417" t="s">
        <v>27</v>
      </c>
      <c r="K417" t="s">
        <v>552</v>
      </c>
      <c r="L417" t="s">
        <v>567</v>
      </c>
    </row>
    <row r="418" spans="1:12" x14ac:dyDescent="0.3">
      <c r="A418" t="s">
        <v>118</v>
      </c>
      <c r="B418">
        <v>94</v>
      </c>
      <c r="C418">
        <v>27</v>
      </c>
      <c r="D418">
        <v>188</v>
      </c>
      <c r="E418">
        <f>SUM(Details[[#This Row],[Actual_Cost]],Details[[#This Row],[Profit]])</f>
        <v>215</v>
      </c>
      <c r="F418">
        <v>2</v>
      </c>
      <c r="G418">
        <f>PRODUCT(Details[[#This Row],[Selling_Cost]],Details[[#This Row],[Quantity]])</f>
        <v>430</v>
      </c>
      <c r="H418" t="s">
        <v>8</v>
      </c>
      <c r="I418" t="s">
        <v>46</v>
      </c>
      <c r="J418" t="s">
        <v>10</v>
      </c>
      <c r="K418" t="s">
        <v>539</v>
      </c>
      <c r="L418" t="s">
        <v>541</v>
      </c>
    </row>
    <row r="419" spans="1:12" x14ac:dyDescent="0.3">
      <c r="A419" t="s">
        <v>258</v>
      </c>
      <c r="B419">
        <v>166</v>
      </c>
      <c r="C419">
        <v>27</v>
      </c>
      <c r="D419">
        <v>332</v>
      </c>
      <c r="E419">
        <f>SUM(Details[[#This Row],[Actual_Cost]],Details[[#This Row],[Profit]])</f>
        <v>359</v>
      </c>
      <c r="F419">
        <v>2</v>
      </c>
      <c r="G419">
        <f>PRODUCT(Details[[#This Row],[Selling_Cost]],Details[[#This Row],[Quantity]])</f>
        <v>718</v>
      </c>
      <c r="H419" t="s">
        <v>13</v>
      </c>
      <c r="I419" t="s">
        <v>55</v>
      </c>
      <c r="J419" t="s">
        <v>125</v>
      </c>
      <c r="K419" t="s">
        <v>607</v>
      </c>
      <c r="L419" t="s">
        <v>541</v>
      </c>
    </row>
    <row r="420" spans="1:12" x14ac:dyDescent="0.3">
      <c r="A420" t="s">
        <v>78</v>
      </c>
      <c r="B420">
        <v>223</v>
      </c>
      <c r="C420">
        <v>27</v>
      </c>
      <c r="D420">
        <v>446</v>
      </c>
      <c r="E420">
        <f>SUM(Details[[#This Row],[Actual_Cost]],Details[[#This Row],[Profit]])</f>
        <v>473</v>
      </c>
      <c r="F420">
        <v>2</v>
      </c>
      <c r="G420">
        <f>PRODUCT(Details[[#This Row],[Selling_Cost]],Details[[#This Row],[Quantity]])</f>
        <v>946</v>
      </c>
      <c r="H420" t="s">
        <v>16</v>
      </c>
      <c r="I420" t="s">
        <v>17</v>
      </c>
      <c r="J420" t="s">
        <v>10</v>
      </c>
      <c r="K420" t="s">
        <v>548</v>
      </c>
      <c r="L420" t="s">
        <v>567</v>
      </c>
    </row>
    <row r="421" spans="1:12" x14ac:dyDescent="0.3">
      <c r="A421" t="s">
        <v>290</v>
      </c>
      <c r="B421">
        <v>61</v>
      </c>
      <c r="C421">
        <v>28</v>
      </c>
      <c r="D421">
        <v>122</v>
      </c>
      <c r="E421">
        <f>SUM(Details[[#This Row],[Actual_Cost]],Details[[#This Row],[Profit]])</f>
        <v>150</v>
      </c>
      <c r="F421">
        <v>2</v>
      </c>
      <c r="G421">
        <f>PRODUCT(Details[[#This Row],[Selling_Cost]],Details[[#This Row],[Quantity]])</f>
        <v>300</v>
      </c>
      <c r="H421" t="s">
        <v>8</v>
      </c>
      <c r="I421" t="s">
        <v>48</v>
      </c>
      <c r="J421" t="s">
        <v>18</v>
      </c>
      <c r="K421" t="s">
        <v>569</v>
      </c>
      <c r="L421" t="s">
        <v>550</v>
      </c>
    </row>
    <row r="422" spans="1:12" x14ac:dyDescent="0.3">
      <c r="A422" t="s">
        <v>292</v>
      </c>
      <c r="B422">
        <v>100</v>
      </c>
      <c r="C422">
        <v>28</v>
      </c>
      <c r="D422">
        <v>200</v>
      </c>
      <c r="E422">
        <f>SUM(Details[[#This Row],[Actual_Cost]],Details[[#This Row],[Profit]])</f>
        <v>228</v>
      </c>
      <c r="F422">
        <v>2</v>
      </c>
      <c r="G422">
        <f>PRODUCT(Details[[#This Row],[Selling_Cost]],Details[[#This Row],[Quantity]])</f>
        <v>456</v>
      </c>
      <c r="H422" t="s">
        <v>8</v>
      </c>
      <c r="I422" t="s">
        <v>48</v>
      </c>
      <c r="J422" t="s">
        <v>18</v>
      </c>
      <c r="K422" t="s">
        <v>552</v>
      </c>
      <c r="L422" t="s">
        <v>541</v>
      </c>
    </row>
    <row r="423" spans="1:12" x14ac:dyDescent="0.3">
      <c r="A423" t="s">
        <v>293</v>
      </c>
      <c r="B423">
        <v>113</v>
      </c>
      <c r="C423">
        <v>28</v>
      </c>
      <c r="D423">
        <v>226</v>
      </c>
      <c r="E423">
        <f>SUM(Details[[#This Row],[Actual_Cost]],Details[[#This Row],[Profit]])</f>
        <v>254</v>
      </c>
      <c r="F423">
        <v>2</v>
      </c>
      <c r="G423">
        <f>PRODUCT(Details[[#This Row],[Selling_Cost]],Details[[#This Row],[Quantity]])</f>
        <v>508</v>
      </c>
      <c r="H423" t="s">
        <v>8</v>
      </c>
      <c r="I423" t="s">
        <v>9</v>
      </c>
      <c r="J423" t="s">
        <v>18</v>
      </c>
      <c r="K423" t="s">
        <v>543</v>
      </c>
      <c r="L423" t="s">
        <v>544</v>
      </c>
    </row>
    <row r="424" spans="1:12" x14ac:dyDescent="0.3">
      <c r="A424" t="s">
        <v>262</v>
      </c>
      <c r="B424">
        <v>140</v>
      </c>
      <c r="C424">
        <v>28</v>
      </c>
      <c r="D424">
        <v>280</v>
      </c>
      <c r="E424">
        <f>SUM(Details[[#This Row],[Actual_Cost]],Details[[#This Row],[Profit]])</f>
        <v>308</v>
      </c>
      <c r="F424">
        <v>2</v>
      </c>
      <c r="G424">
        <f>PRODUCT(Details[[#This Row],[Selling_Cost]],Details[[#This Row],[Quantity]])</f>
        <v>616</v>
      </c>
      <c r="H424" t="s">
        <v>13</v>
      </c>
      <c r="I424" t="s">
        <v>14</v>
      </c>
      <c r="J424" t="s">
        <v>10</v>
      </c>
      <c r="K424" t="s">
        <v>548</v>
      </c>
      <c r="L424" t="s">
        <v>546</v>
      </c>
    </row>
    <row r="425" spans="1:12" x14ac:dyDescent="0.3">
      <c r="A425" t="s">
        <v>121</v>
      </c>
      <c r="B425">
        <v>89</v>
      </c>
      <c r="C425">
        <v>29</v>
      </c>
      <c r="D425">
        <v>178</v>
      </c>
      <c r="E425">
        <f>SUM(Details[[#This Row],[Actual_Cost]],Details[[#This Row],[Profit]])</f>
        <v>207</v>
      </c>
      <c r="F425">
        <v>2</v>
      </c>
      <c r="G425">
        <f>PRODUCT(Details[[#This Row],[Selling_Cost]],Details[[#This Row],[Quantity]])</f>
        <v>414</v>
      </c>
      <c r="H425" t="s">
        <v>8</v>
      </c>
      <c r="I425" t="s">
        <v>29</v>
      </c>
      <c r="J425" t="s">
        <v>18</v>
      </c>
      <c r="K425" t="s">
        <v>632</v>
      </c>
      <c r="L425" t="s">
        <v>546</v>
      </c>
    </row>
    <row r="426" spans="1:12" x14ac:dyDescent="0.3">
      <c r="A426" t="s">
        <v>294</v>
      </c>
      <c r="B426">
        <v>97</v>
      </c>
      <c r="C426">
        <v>29</v>
      </c>
      <c r="D426">
        <v>194</v>
      </c>
      <c r="E426">
        <f>SUM(Details[[#This Row],[Actual_Cost]],Details[[#This Row],[Profit]])</f>
        <v>223</v>
      </c>
      <c r="F426">
        <v>2</v>
      </c>
      <c r="G426">
        <f>PRODUCT(Details[[#This Row],[Selling_Cost]],Details[[#This Row],[Quantity]])</f>
        <v>446</v>
      </c>
      <c r="H426" t="s">
        <v>8</v>
      </c>
      <c r="I426" t="s">
        <v>48</v>
      </c>
      <c r="J426" t="s">
        <v>18</v>
      </c>
      <c r="K426" t="s">
        <v>641</v>
      </c>
      <c r="L426" t="s">
        <v>565</v>
      </c>
    </row>
    <row r="427" spans="1:12" x14ac:dyDescent="0.3">
      <c r="A427" t="s">
        <v>139</v>
      </c>
      <c r="B427">
        <v>61</v>
      </c>
      <c r="C427">
        <v>30</v>
      </c>
      <c r="D427">
        <v>122</v>
      </c>
      <c r="E427">
        <f>SUM(Details[[#This Row],[Actual_Cost]],Details[[#This Row],[Profit]])</f>
        <v>152</v>
      </c>
      <c r="F427">
        <v>2</v>
      </c>
      <c r="G427">
        <f>PRODUCT(Details[[#This Row],[Selling_Cost]],Details[[#This Row],[Quantity]])</f>
        <v>304</v>
      </c>
      <c r="H427" t="s">
        <v>8</v>
      </c>
      <c r="I427" t="s">
        <v>48</v>
      </c>
      <c r="J427" t="s">
        <v>18</v>
      </c>
      <c r="K427" t="s">
        <v>552</v>
      </c>
      <c r="L427" t="s">
        <v>567</v>
      </c>
    </row>
    <row r="428" spans="1:12" x14ac:dyDescent="0.3">
      <c r="A428" t="s">
        <v>241</v>
      </c>
      <c r="B428">
        <v>90</v>
      </c>
      <c r="C428">
        <v>30</v>
      </c>
      <c r="D428">
        <v>180</v>
      </c>
      <c r="E428">
        <f>SUM(Details[[#This Row],[Actual_Cost]],Details[[#This Row],[Profit]])</f>
        <v>210</v>
      </c>
      <c r="F428">
        <v>2</v>
      </c>
      <c r="G428">
        <f>PRODUCT(Details[[#This Row],[Selling_Cost]],Details[[#This Row],[Quantity]])</f>
        <v>420</v>
      </c>
      <c r="H428" t="s">
        <v>16</v>
      </c>
      <c r="I428" t="s">
        <v>23</v>
      </c>
      <c r="J428" t="s">
        <v>18</v>
      </c>
      <c r="K428" t="s">
        <v>552</v>
      </c>
      <c r="L428" t="s">
        <v>544</v>
      </c>
    </row>
    <row r="429" spans="1:12" x14ac:dyDescent="0.3">
      <c r="A429" t="s">
        <v>78</v>
      </c>
      <c r="B429">
        <v>245</v>
      </c>
      <c r="C429">
        <v>30</v>
      </c>
      <c r="D429">
        <v>490</v>
      </c>
      <c r="E429">
        <f>SUM(Details[[#This Row],[Actual_Cost]],Details[[#This Row],[Profit]])</f>
        <v>520</v>
      </c>
      <c r="F429">
        <v>2</v>
      </c>
      <c r="G429">
        <f>PRODUCT(Details[[#This Row],[Selling_Cost]],Details[[#This Row],[Quantity]])</f>
        <v>1040</v>
      </c>
      <c r="H429" t="s">
        <v>8</v>
      </c>
      <c r="I429" t="s">
        <v>9</v>
      </c>
      <c r="J429" t="s">
        <v>10</v>
      </c>
      <c r="K429" t="s">
        <v>548</v>
      </c>
      <c r="L429" t="s">
        <v>567</v>
      </c>
    </row>
    <row r="430" spans="1:12" x14ac:dyDescent="0.3">
      <c r="A430" t="s">
        <v>139</v>
      </c>
      <c r="B430">
        <v>442</v>
      </c>
      <c r="C430">
        <v>31</v>
      </c>
      <c r="D430">
        <v>884</v>
      </c>
      <c r="E430">
        <f>SUM(Details[[#This Row],[Actual_Cost]],Details[[#This Row],[Profit]])</f>
        <v>915</v>
      </c>
      <c r="F430">
        <v>2</v>
      </c>
      <c r="G430">
        <f>PRODUCT(Details[[#This Row],[Selling_Cost]],Details[[#This Row],[Quantity]])</f>
        <v>1830</v>
      </c>
      <c r="H430" t="s">
        <v>13</v>
      </c>
      <c r="I430" t="s">
        <v>34</v>
      </c>
      <c r="J430" t="s">
        <v>18</v>
      </c>
      <c r="K430" t="s">
        <v>552</v>
      </c>
      <c r="L430" t="s">
        <v>567</v>
      </c>
    </row>
    <row r="431" spans="1:12" x14ac:dyDescent="0.3">
      <c r="A431" t="s">
        <v>194</v>
      </c>
      <c r="B431">
        <v>74</v>
      </c>
      <c r="C431">
        <v>33</v>
      </c>
      <c r="D431">
        <v>148</v>
      </c>
      <c r="E431">
        <f>SUM(Details[[#This Row],[Actual_Cost]],Details[[#This Row],[Profit]])</f>
        <v>181</v>
      </c>
      <c r="F431">
        <v>2</v>
      </c>
      <c r="G431">
        <f>PRODUCT(Details[[#This Row],[Selling_Cost]],Details[[#This Row],[Quantity]])</f>
        <v>362</v>
      </c>
      <c r="H431" t="s">
        <v>8</v>
      </c>
      <c r="I431" t="s">
        <v>61</v>
      </c>
      <c r="J431" t="s">
        <v>42</v>
      </c>
      <c r="K431" t="s">
        <v>552</v>
      </c>
      <c r="L431" t="s">
        <v>550</v>
      </c>
    </row>
    <row r="432" spans="1:12" x14ac:dyDescent="0.3">
      <c r="A432" t="s">
        <v>295</v>
      </c>
      <c r="B432">
        <v>207</v>
      </c>
      <c r="C432">
        <v>33</v>
      </c>
      <c r="D432">
        <v>414</v>
      </c>
      <c r="E432">
        <f>SUM(Details[[#This Row],[Actual_Cost]],Details[[#This Row],[Profit]])</f>
        <v>447</v>
      </c>
      <c r="F432">
        <v>2</v>
      </c>
      <c r="G432">
        <f>PRODUCT(Details[[#This Row],[Selling_Cost]],Details[[#This Row],[Quantity]])</f>
        <v>894</v>
      </c>
      <c r="H432" t="s">
        <v>13</v>
      </c>
      <c r="I432" t="s">
        <v>55</v>
      </c>
      <c r="J432" t="s">
        <v>18</v>
      </c>
      <c r="K432" t="s">
        <v>569</v>
      </c>
      <c r="L432" t="s">
        <v>546</v>
      </c>
    </row>
    <row r="433" spans="1:12" x14ac:dyDescent="0.3">
      <c r="A433" t="s">
        <v>77</v>
      </c>
      <c r="B433">
        <v>77</v>
      </c>
      <c r="C433">
        <v>36</v>
      </c>
      <c r="D433">
        <v>154</v>
      </c>
      <c r="E433">
        <f>SUM(Details[[#This Row],[Actual_Cost]],Details[[#This Row],[Profit]])</f>
        <v>190</v>
      </c>
      <c r="F433">
        <v>2</v>
      </c>
      <c r="G433">
        <f>PRODUCT(Details[[#This Row],[Selling_Cost]],Details[[#This Row],[Quantity]])</f>
        <v>380</v>
      </c>
      <c r="H433" t="s">
        <v>8</v>
      </c>
      <c r="I433" t="s">
        <v>61</v>
      </c>
      <c r="J433" t="s">
        <v>125</v>
      </c>
      <c r="K433" t="s">
        <v>561</v>
      </c>
      <c r="L433" t="s">
        <v>544</v>
      </c>
    </row>
    <row r="434" spans="1:12" x14ac:dyDescent="0.3">
      <c r="A434" t="s">
        <v>212</v>
      </c>
      <c r="B434">
        <v>103</v>
      </c>
      <c r="C434">
        <v>36</v>
      </c>
      <c r="D434">
        <v>206</v>
      </c>
      <c r="E434">
        <f>SUM(Details[[#This Row],[Actual_Cost]],Details[[#This Row],[Profit]])</f>
        <v>242</v>
      </c>
      <c r="F434">
        <v>2</v>
      </c>
      <c r="G434">
        <f>PRODUCT(Details[[#This Row],[Selling_Cost]],Details[[#This Row],[Quantity]])</f>
        <v>484</v>
      </c>
      <c r="H434" t="s">
        <v>8</v>
      </c>
      <c r="I434" t="s">
        <v>48</v>
      </c>
      <c r="J434" t="s">
        <v>10</v>
      </c>
      <c r="K434" t="s">
        <v>548</v>
      </c>
      <c r="L434" t="s">
        <v>550</v>
      </c>
    </row>
    <row r="435" spans="1:12" x14ac:dyDescent="0.3">
      <c r="A435" t="s">
        <v>213</v>
      </c>
      <c r="B435">
        <v>117</v>
      </c>
      <c r="C435">
        <v>36</v>
      </c>
      <c r="D435">
        <v>234</v>
      </c>
      <c r="E435">
        <f>SUM(Details[[#This Row],[Actual_Cost]],Details[[#This Row],[Profit]])</f>
        <v>270</v>
      </c>
      <c r="F435">
        <v>2</v>
      </c>
      <c r="G435">
        <f>PRODUCT(Details[[#This Row],[Selling_Cost]],Details[[#This Row],[Quantity]])</f>
        <v>540</v>
      </c>
      <c r="H435" t="s">
        <v>8</v>
      </c>
      <c r="I435" t="s">
        <v>41</v>
      </c>
      <c r="J435" t="s">
        <v>42</v>
      </c>
      <c r="K435" t="s">
        <v>661</v>
      </c>
      <c r="L435" t="s">
        <v>567</v>
      </c>
    </row>
    <row r="436" spans="1:12" x14ac:dyDescent="0.3">
      <c r="A436" t="s">
        <v>296</v>
      </c>
      <c r="B436">
        <v>108</v>
      </c>
      <c r="C436">
        <v>37</v>
      </c>
      <c r="D436">
        <v>216</v>
      </c>
      <c r="E436">
        <f>SUM(Details[[#This Row],[Actual_Cost]],Details[[#This Row],[Profit]])</f>
        <v>253</v>
      </c>
      <c r="F436">
        <v>2</v>
      </c>
      <c r="G436">
        <f>PRODUCT(Details[[#This Row],[Selling_Cost]],Details[[#This Row],[Quantity]])</f>
        <v>506</v>
      </c>
      <c r="H436" t="s">
        <v>8</v>
      </c>
      <c r="I436" t="s">
        <v>29</v>
      </c>
      <c r="J436" t="s">
        <v>27</v>
      </c>
      <c r="K436" t="s">
        <v>607</v>
      </c>
      <c r="L436" t="s">
        <v>567</v>
      </c>
    </row>
    <row r="437" spans="1:12" x14ac:dyDescent="0.3">
      <c r="A437" t="s">
        <v>89</v>
      </c>
      <c r="B437">
        <v>624</v>
      </c>
      <c r="C437">
        <v>37</v>
      </c>
      <c r="D437">
        <v>1248</v>
      </c>
      <c r="E437">
        <f>SUM(Details[[#This Row],[Actual_Cost]],Details[[#This Row],[Profit]])</f>
        <v>1285</v>
      </c>
      <c r="F437">
        <v>2</v>
      </c>
      <c r="G437">
        <f>PRODUCT(Details[[#This Row],[Selling_Cost]],Details[[#This Row],[Quantity]])</f>
        <v>2570</v>
      </c>
      <c r="H437" t="s">
        <v>13</v>
      </c>
      <c r="I437" t="s">
        <v>34</v>
      </c>
      <c r="J437" t="s">
        <v>42</v>
      </c>
      <c r="K437" t="s">
        <v>548</v>
      </c>
      <c r="L437" t="s">
        <v>624</v>
      </c>
    </row>
    <row r="438" spans="1:12" x14ac:dyDescent="0.3">
      <c r="A438" t="s">
        <v>297</v>
      </c>
      <c r="B438">
        <v>101</v>
      </c>
      <c r="C438">
        <v>38</v>
      </c>
      <c r="D438">
        <v>202</v>
      </c>
      <c r="E438">
        <f>SUM(Details[[#This Row],[Actual_Cost]],Details[[#This Row],[Profit]])</f>
        <v>240</v>
      </c>
      <c r="F438">
        <v>2</v>
      </c>
      <c r="G438">
        <f>PRODUCT(Details[[#This Row],[Selling_Cost]],Details[[#This Row],[Quantity]])</f>
        <v>480</v>
      </c>
      <c r="H438" t="s">
        <v>16</v>
      </c>
      <c r="I438" t="s">
        <v>32</v>
      </c>
      <c r="J438" t="s">
        <v>10</v>
      </c>
      <c r="K438" t="s">
        <v>552</v>
      </c>
      <c r="L438" t="s">
        <v>563</v>
      </c>
    </row>
    <row r="439" spans="1:12" x14ac:dyDescent="0.3">
      <c r="A439" t="s">
        <v>298</v>
      </c>
      <c r="B439">
        <v>79</v>
      </c>
      <c r="C439">
        <v>39</v>
      </c>
      <c r="D439">
        <v>158</v>
      </c>
      <c r="E439">
        <f>SUM(Details[[#This Row],[Actual_Cost]],Details[[#This Row],[Profit]])</f>
        <v>197</v>
      </c>
      <c r="F439">
        <v>2</v>
      </c>
      <c r="G439">
        <f>PRODUCT(Details[[#This Row],[Selling_Cost]],Details[[#This Row],[Quantity]])</f>
        <v>394</v>
      </c>
      <c r="H439" t="s">
        <v>8</v>
      </c>
      <c r="I439" t="s">
        <v>61</v>
      </c>
      <c r="J439" t="s">
        <v>42</v>
      </c>
      <c r="K439" t="s">
        <v>539</v>
      </c>
      <c r="L439" t="s">
        <v>546</v>
      </c>
    </row>
    <row r="440" spans="1:12" x14ac:dyDescent="0.3">
      <c r="A440" t="s">
        <v>243</v>
      </c>
      <c r="B440">
        <v>220</v>
      </c>
      <c r="C440">
        <v>40</v>
      </c>
      <c r="D440">
        <v>440</v>
      </c>
      <c r="E440">
        <f>SUM(Details[[#This Row],[Actual_Cost]],Details[[#This Row],[Profit]])</f>
        <v>480</v>
      </c>
      <c r="F440">
        <v>2</v>
      </c>
      <c r="G440">
        <f>PRODUCT(Details[[#This Row],[Selling_Cost]],Details[[#This Row],[Quantity]])</f>
        <v>960</v>
      </c>
      <c r="H440" t="s">
        <v>13</v>
      </c>
      <c r="I440" t="s">
        <v>55</v>
      </c>
      <c r="J440" t="s">
        <v>10</v>
      </c>
      <c r="K440" t="s">
        <v>578</v>
      </c>
      <c r="L440" t="s">
        <v>541</v>
      </c>
    </row>
    <row r="441" spans="1:12" x14ac:dyDescent="0.3">
      <c r="A441" t="s">
        <v>299</v>
      </c>
      <c r="B441">
        <v>92</v>
      </c>
      <c r="C441">
        <v>42</v>
      </c>
      <c r="D441">
        <v>184</v>
      </c>
      <c r="E441">
        <f>SUM(Details[[#This Row],[Actual_Cost]],Details[[#This Row],[Profit]])</f>
        <v>226</v>
      </c>
      <c r="F441">
        <v>2</v>
      </c>
      <c r="G441">
        <f>PRODUCT(Details[[#This Row],[Selling_Cost]],Details[[#This Row],[Quantity]])</f>
        <v>452</v>
      </c>
      <c r="H441" t="s">
        <v>8</v>
      </c>
      <c r="I441" t="s">
        <v>29</v>
      </c>
      <c r="J441" t="s">
        <v>10</v>
      </c>
      <c r="K441" t="s">
        <v>587</v>
      </c>
      <c r="L441" t="s">
        <v>563</v>
      </c>
    </row>
    <row r="442" spans="1:12" x14ac:dyDescent="0.3">
      <c r="A442" t="s">
        <v>300</v>
      </c>
      <c r="B442">
        <v>134</v>
      </c>
      <c r="C442">
        <v>42</v>
      </c>
      <c r="D442">
        <v>268</v>
      </c>
      <c r="E442">
        <f>SUM(Details[[#This Row],[Actual_Cost]],Details[[#This Row],[Profit]])</f>
        <v>310</v>
      </c>
      <c r="F442">
        <v>2</v>
      </c>
      <c r="G442">
        <f>PRODUCT(Details[[#This Row],[Selling_Cost]],Details[[#This Row],[Quantity]])</f>
        <v>620</v>
      </c>
      <c r="H442" t="s">
        <v>16</v>
      </c>
      <c r="I442" t="s">
        <v>23</v>
      </c>
      <c r="J442" t="s">
        <v>10</v>
      </c>
      <c r="K442" t="s">
        <v>548</v>
      </c>
      <c r="L442" t="s">
        <v>585</v>
      </c>
    </row>
    <row r="443" spans="1:12" x14ac:dyDescent="0.3">
      <c r="A443" t="s">
        <v>224</v>
      </c>
      <c r="B443">
        <v>300</v>
      </c>
      <c r="C443">
        <v>42</v>
      </c>
      <c r="D443">
        <v>600</v>
      </c>
      <c r="E443">
        <f>SUM(Details[[#This Row],[Actual_Cost]],Details[[#This Row],[Profit]])</f>
        <v>642</v>
      </c>
      <c r="F443">
        <v>2</v>
      </c>
      <c r="G443">
        <f>PRODUCT(Details[[#This Row],[Selling_Cost]],Details[[#This Row],[Quantity]])</f>
        <v>1284</v>
      </c>
      <c r="H443" t="s">
        <v>13</v>
      </c>
      <c r="I443" t="s">
        <v>20</v>
      </c>
      <c r="J443" t="s">
        <v>10</v>
      </c>
      <c r="K443" t="s">
        <v>596</v>
      </c>
      <c r="L443" t="s">
        <v>567</v>
      </c>
    </row>
    <row r="444" spans="1:12" x14ac:dyDescent="0.3">
      <c r="A444" t="s">
        <v>301</v>
      </c>
      <c r="B444">
        <v>720</v>
      </c>
      <c r="C444">
        <v>43</v>
      </c>
      <c r="D444">
        <v>1440</v>
      </c>
      <c r="E444">
        <f>SUM(Details[[#This Row],[Actual_Cost]],Details[[#This Row],[Profit]])</f>
        <v>1483</v>
      </c>
      <c r="F444">
        <v>2</v>
      </c>
      <c r="G444">
        <f>PRODUCT(Details[[#This Row],[Selling_Cost]],Details[[#This Row],[Quantity]])</f>
        <v>2966</v>
      </c>
      <c r="H444" t="s">
        <v>13</v>
      </c>
      <c r="I444" t="s">
        <v>20</v>
      </c>
      <c r="J444" t="s">
        <v>18</v>
      </c>
      <c r="K444" t="s">
        <v>569</v>
      </c>
      <c r="L444" t="s">
        <v>546</v>
      </c>
    </row>
    <row r="445" spans="1:12" x14ac:dyDescent="0.3">
      <c r="A445" t="s">
        <v>302</v>
      </c>
      <c r="B445">
        <v>93</v>
      </c>
      <c r="C445">
        <v>44</v>
      </c>
      <c r="D445">
        <v>186</v>
      </c>
      <c r="E445">
        <f>SUM(Details[[#This Row],[Actual_Cost]],Details[[#This Row],[Profit]])</f>
        <v>230</v>
      </c>
      <c r="F445">
        <v>2</v>
      </c>
      <c r="G445">
        <f>PRODUCT(Details[[#This Row],[Selling_Cost]],Details[[#This Row],[Quantity]])</f>
        <v>460</v>
      </c>
      <c r="H445" t="s">
        <v>8</v>
      </c>
      <c r="I445" t="s">
        <v>29</v>
      </c>
      <c r="J445" t="s">
        <v>27</v>
      </c>
      <c r="K445" t="s">
        <v>569</v>
      </c>
      <c r="L445" t="s">
        <v>544</v>
      </c>
    </row>
    <row r="446" spans="1:12" x14ac:dyDescent="0.3">
      <c r="A446" t="s">
        <v>219</v>
      </c>
      <c r="B446">
        <v>284</v>
      </c>
      <c r="C446">
        <v>45</v>
      </c>
      <c r="D446">
        <v>568</v>
      </c>
      <c r="E446">
        <f>SUM(Details[[#This Row],[Actual_Cost]],Details[[#This Row],[Profit]])</f>
        <v>613</v>
      </c>
      <c r="F446">
        <v>2</v>
      </c>
      <c r="G446">
        <f>PRODUCT(Details[[#This Row],[Selling_Cost]],Details[[#This Row],[Quantity]])</f>
        <v>1226</v>
      </c>
      <c r="H446" t="s">
        <v>16</v>
      </c>
      <c r="I446" t="s">
        <v>17</v>
      </c>
      <c r="J446" t="s">
        <v>125</v>
      </c>
      <c r="K446" t="s">
        <v>552</v>
      </c>
      <c r="L446" t="s">
        <v>546</v>
      </c>
    </row>
    <row r="447" spans="1:12" x14ac:dyDescent="0.3">
      <c r="A447" t="s">
        <v>224</v>
      </c>
      <c r="B447">
        <v>103</v>
      </c>
      <c r="C447">
        <v>46</v>
      </c>
      <c r="D447">
        <v>206</v>
      </c>
      <c r="E447">
        <f>SUM(Details[[#This Row],[Actual_Cost]],Details[[#This Row],[Profit]])</f>
        <v>252</v>
      </c>
      <c r="F447">
        <v>2</v>
      </c>
      <c r="G447">
        <f>PRODUCT(Details[[#This Row],[Selling_Cost]],Details[[#This Row],[Quantity]])</f>
        <v>504</v>
      </c>
      <c r="H447" t="s">
        <v>8</v>
      </c>
      <c r="I447" t="s">
        <v>9</v>
      </c>
      <c r="J447" t="s">
        <v>18</v>
      </c>
      <c r="K447" t="s">
        <v>596</v>
      </c>
      <c r="L447" t="s">
        <v>567</v>
      </c>
    </row>
    <row r="448" spans="1:12" x14ac:dyDescent="0.3">
      <c r="A448" t="s">
        <v>303</v>
      </c>
      <c r="B448">
        <v>103</v>
      </c>
      <c r="C448">
        <v>46</v>
      </c>
      <c r="D448">
        <v>206</v>
      </c>
      <c r="E448">
        <f>SUM(Details[[#This Row],[Actual_Cost]],Details[[#This Row],[Profit]])</f>
        <v>252</v>
      </c>
      <c r="F448">
        <v>2</v>
      </c>
      <c r="G448">
        <f>PRODUCT(Details[[#This Row],[Selling_Cost]],Details[[#This Row],[Quantity]])</f>
        <v>504</v>
      </c>
      <c r="H448" t="s">
        <v>8</v>
      </c>
      <c r="I448" t="s">
        <v>9</v>
      </c>
      <c r="J448" t="s">
        <v>27</v>
      </c>
      <c r="K448" t="s">
        <v>632</v>
      </c>
      <c r="L448" t="s">
        <v>541</v>
      </c>
    </row>
    <row r="449" spans="1:12" x14ac:dyDescent="0.3">
      <c r="A449" t="s">
        <v>159</v>
      </c>
      <c r="B449">
        <v>105</v>
      </c>
      <c r="C449">
        <v>46</v>
      </c>
      <c r="D449">
        <v>210</v>
      </c>
      <c r="E449">
        <f>SUM(Details[[#This Row],[Actual_Cost]],Details[[#This Row],[Profit]])</f>
        <v>256</v>
      </c>
      <c r="F449">
        <v>2</v>
      </c>
      <c r="G449">
        <f>PRODUCT(Details[[#This Row],[Selling_Cost]],Details[[#This Row],[Quantity]])</f>
        <v>512</v>
      </c>
      <c r="H449" t="s">
        <v>8</v>
      </c>
      <c r="I449" t="s">
        <v>29</v>
      </c>
      <c r="J449" t="s">
        <v>18</v>
      </c>
      <c r="K449" t="s">
        <v>548</v>
      </c>
      <c r="L449" t="s">
        <v>624</v>
      </c>
    </row>
    <row r="450" spans="1:12" x14ac:dyDescent="0.3">
      <c r="A450" t="s">
        <v>304</v>
      </c>
      <c r="B450">
        <v>115</v>
      </c>
      <c r="C450">
        <v>47</v>
      </c>
      <c r="D450">
        <v>230</v>
      </c>
      <c r="E450">
        <f>SUM(Details[[#This Row],[Actual_Cost]],Details[[#This Row],[Profit]])</f>
        <v>277</v>
      </c>
      <c r="F450">
        <v>2</v>
      </c>
      <c r="G450">
        <f>PRODUCT(Details[[#This Row],[Selling_Cost]],Details[[#This Row],[Quantity]])</f>
        <v>554</v>
      </c>
      <c r="H450" t="s">
        <v>13</v>
      </c>
      <c r="I450" t="s">
        <v>55</v>
      </c>
      <c r="J450" t="s">
        <v>10</v>
      </c>
      <c r="K450" t="s">
        <v>607</v>
      </c>
      <c r="L450" t="s">
        <v>546</v>
      </c>
    </row>
    <row r="451" spans="1:12" x14ac:dyDescent="0.3">
      <c r="A451" t="s">
        <v>112</v>
      </c>
      <c r="B451">
        <v>103</v>
      </c>
      <c r="C451">
        <v>50</v>
      </c>
      <c r="D451">
        <v>206</v>
      </c>
      <c r="E451">
        <f>SUM(Details[[#This Row],[Actual_Cost]],Details[[#This Row],[Profit]])</f>
        <v>256</v>
      </c>
      <c r="F451">
        <v>2</v>
      </c>
      <c r="G451">
        <f>PRODUCT(Details[[#This Row],[Selling_Cost]],Details[[#This Row],[Quantity]])</f>
        <v>512</v>
      </c>
      <c r="H451" t="s">
        <v>16</v>
      </c>
      <c r="I451" t="s">
        <v>32</v>
      </c>
      <c r="J451" t="s">
        <v>18</v>
      </c>
      <c r="K451" t="s">
        <v>548</v>
      </c>
      <c r="L451" t="s">
        <v>563</v>
      </c>
    </row>
    <row r="452" spans="1:12" x14ac:dyDescent="0.3">
      <c r="A452" t="s">
        <v>99</v>
      </c>
      <c r="B452">
        <v>333</v>
      </c>
      <c r="C452">
        <v>50</v>
      </c>
      <c r="D452">
        <v>666</v>
      </c>
      <c r="E452">
        <f>SUM(Details[[#This Row],[Actual_Cost]],Details[[#This Row],[Profit]])</f>
        <v>716</v>
      </c>
      <c r="F452">
        <v>2</v>
      </c>
      <c r="G452">
        <f>PRODUCT(Details[[#This Row],[Selling_Cost]],Details[[#This Row],[Quantity]])</f>
        <v>1432</v>
      </c>
      <c r="H452" t="s">
        <v>13</v>
      </c>
      <c r="I452" t="s">
        <v>14</v>
      </c>
      <c r="J452" t="s">
        <v>10</v>
      </c>
      <c r="K452" t="s">
        <v>543</v>
      </c>
      <c r="L452" t="s">
        <v>544</v>
      </c>
    </row>
    <row r="453" spans="1:12" x14ac:dyDescent="0.3">
      <c r="A453" t="s">
        <v>120</v>
      </c>
      <c r="B453">
        <v>109</v>
      </c>
      <c r="C453">
        <v>52</v>
      </c>
      <c r="D453">
        <v>218</v>
      </c>
      <c r="E453">
        <f>SUM(Details[[#This Row],[Actual_Cost]],Details[[#This Row],[Profit]])</f>
        <v>270</v>
      </c>
      <c r="F453">
        <v>2</v>
      </c>
      <c r="G453">
        <f>PRODUCT(Details[[#This Row],[Selling_Cost]],Details[[#This Row],[Quantity]])</f>
        <v>540</v>
      </c>
      <c r="H453" t="s">
        <v>8</v>
      </c>
      <c r="I453" t="s">
        <v>29</v>
      </c>
      <c r="J453" t="s">
        <v>18</v>
      </c>
      <c r="K453" t="s">
        <v>552</v>
      </c>
      <c r="L453" t="s">
        <v>541</v>
      </c>
    </row>
    <row r="454" spans="1:12" x14ac:dyDescent="0.3">
      <c r="A454" t="s">
        <v>15</v>
      </c>
      <c r="B454">
        <v>785</v>
      </c>
      <c r="C454">
        <v>52</v>
      </c>
      <c r="D454">
        <v>1570</v>
      </c>
      <c r="E454">
        <f>SUM(Details[[#This Row],[Actual_Cost]],Details[[#This Row],[Profit]])</f>
        <v>1622</v>
      </c>
      <c r="F454">
        <v>2</v>
      </c>
      <c r="G454">
        <f>PRODUCT(Details[[#This Row],[Selling_Cost]],Details[[#This Row],[Quantity]])</f>
        <v>3244</v>
      </c>
      <c r="H454" t="s">
        <v>13</v>
      </c>
      <c r="I454" t="s">
        <v>14</v>
      </c>
      <c r="J454" t="s">
        <v>42</v>
      </c>
      <c r="K454" t="s">
        <v>578</v>
      </c>
      <c r="L454" t="s">
        <v>624</v>
      </c>
    </row>
    <row r="455" spans="1:12" x14ac:dyDescent="0.3">
      <c r="A455" t="s">
        <v>305</v>
      </c>
      <c r="B455">
        <v>148</v>
      </c>
      <c r="C455">
        <v>54</v>
      </c>
      <c r="D455">
        <v>296</v>
      </c>
      <c r="E455">
        <f>SUM(Details[[#This Row],[Actual_Cost]],Details[[#This Row],[Profit]])</f>
        <v>350</v>
      </c>
      <c r="F455">
        <v>2</v>
      </c>
      <c r="G455">
        <f>PRODUCT(Details[[#This Row],[Selling_Cost]],Details[[#This Row],[Quantity]])</f>
        <v>700</v>
      </c>
      <c r="H455" t="s">
        <v>16</v>
      </c>
      <c r="I455" t="s">
        <v>23</v>
      </c>
      <c r="J455" t="s">
        <v>18</v>
      </c>
      <c r="K455" t="s">
        <v>610</v>
      </c>
      <c r="L455" t="s">
        <v>550</v>
      </c>
    </row>
    <row r="456" spans="1:12" x14ac:dyDescent="0.3">
      <c r="A456" t="s">
        <v>232</v>
      </c>
      <c r="B456">
        <v>252</v>
      </c>
      <c r="C456">
        <v>56</v>
      </c>
      <c r="D456">
        <v>504</v>
      </c>
      <c r="E456">
        <f>SUM(Details[[#This Row],[Actual_Cost]],Details[[#This Row],[Profit]])</f>
        <v>560</v>
      </c>
      <c r="F456">
        <v>2</v>
      </c>
      <c r="G456">
        <f>PRODUCT(Details[[#This Row],[Selling_Cost]],Details[[#This Row],[Quantity]])</f>
        <v>1120</v>
      </c>
      <c r="H456" t="s">
        <v>13</v>
      </c>
      <c r="I456" t="s">
        <v>14</v>
      </c>
      <c r="J456" t="s">
        <v>18</v>
      </c>
      <c r="K456" t="s">
        <v>552</v>
      </c>
      <c r="L456" t="s">
        <v>546</v>
      </c>
    </row>
    <row r="457" spans="1:12" x14ac:dyDescent="0.3">
      <c r="A457" t="s">
        <v>306</v>
      </c>
      <c r="B457">
        <v>140</v>
      </c>
      <c r="C457">
        <v>57</v>
      </c>
      <c r="D457">
        <v>280</v>
      </c>
      <c r="E457">
        <f>SUM(Details[[#This Row],[Actual_Cost]],Details[[#This Row],[Profit]])</f>
        <v>337</v>
      </c>
      <c r="F457">
        <v>2</v>
      </c>
      <c r="G457">
        <f>PRODUCT(Details[[#This Row],[Selling_Cost]],Details[[#This Row],[Quantity]])</f>
        <v>674</v>
      </c>
      <c r="H457" t="s">
        <v>8</v>
      </c>
      <c r="I457" t="s">
        <v>41</v>
      </c>
      <c r="J457" t="s">
        <v>42</v>
      </c>
      <c r="K457" t="s">
        <v>548</v>
      </c>
      <c r="L457" t="s">
        <v>546</v>
      </c>
    </row>
    <row r="458" spans="1:12" x14ac:dyDescent="0.3">
      <c r="A458" t="s">
        <v>194</v>
      </c>
      <c r="B458">
        <v>336</v>
      </c>
      <c r="C458">
        <v>57</v>
      </c>
      <c r="D458">
        <v>672</v>
      </c>
      <c r="E458">
        <f>SUM(Details[[#This Row],[Actual_Cost]],Details[[#This Row],[Profit]])</f>
        <v>729</v>
      </c>
      <c r="F458">
        <v>2</v>
      </c>
      <c r="G458">
        <f>PRODUCT(Details[[#This Row],[Selling_Cost]],Details[[#This Row],[Quantity]])</f>
        <v>1458</v>
      </c>
      <c r="H458" t="s">
        <v>13</v>
      </c>
      <c r="I458" t="s">
        <v>14</v>
      </c>
      <c r="J458" t="s">
        <v>10</v>
      </c>
      <c r="K458" t="s">
        <v>552</v>
      </c>
      <c r="L458" t="s">
        <v>550</v>
      </c>
    </row>
    <row r="459" spans="1:12" x14ac:dyDescent="0.3">
      <c r="A459" t="s">
        <v>307</v>
      </c>
      <c r="B459">
        <v>227</v>
      </c>
      <c r="C459">
        <v>59</v>
      </c>
      <c r="D459">
        <v>454</v>
      </c>
      <c r="E459">
        <f>SUM(Details[[#This Row],[Actual_Cost]],Details[[#This Row],[Profit]])</f>
        <v>513</v>
      </c>
      <c r="F459">
        <v>2</v>
      </c>
      <c r="G459">
        <f>PRODUCT(Details[[#This Row],[Selling_Cost]],Details[[#This Row],[Quantity]])</f>
        <v>1026</v>
      </c>
      <c r="H459" t="s">
        <v>16</v>
      </c>
      <c r="I459" t="s">
        <v>32</v>
      </c>
      <c r="J459" t="s">
        <v>18</v>
      </c>
      <c r="K459" t="s">
        <v>552</v>
      </c>
      <c r="L459" t="s">
        <v>567</v>
      </c>
    </row>
    <row r="460" spans="1:12" x14ac:dyDescent="0.3">
      <c r="A460" t="s">
        <v>84</v>
      </c>
      <c r="B460">
        <v>246</v>
      </c>
      <c r="C460">
        <v>61</v>
      </c>
      <c r="D460">
        <v>492</v>
      </c>
      <c r="E460">
        <f>SUM(Details[[#This Row],[Actual_Cost]],Details[[#This Row],[Profit]])</f>
        <v>553</v>
      </c>
      <c r="F460">
        <v>2</v>
      </c>
      <c r="G460">
        <f>PRODUCT(Details[[#This Row],[Selling_Cost]],Details[[#This Row],[Quantity]])</f>
        <v>1106</v>
      </c>
      <c r="H460" t="s">
        <v>16</v>
      </c>
      <c r="I460" t="s">
        <v>17</v>
      </c>
      <c r="J460" t="s">
        <v>10</v>
      </c>
      <c r="K460" t="s">
        <v>641</v>
      </c>
      <c r="L460" t="s">
        <v>541</v>
      </c>
    </row>
    <row r="461" spans="1:12" x14ac:dyDescent="0.3">
      <c r="A461" t="s">
        <v>308</v>
      </c>
      <c r="B461">
        <v>246</v>
      </c>
      <c r="C461">
        <v>61</v>
      </c>
      <c r="D461">
        <v>492</v>
      </c>
      <c r="E461">
        <f>SUM(Details[[#This Row],[Actual_Cost]],Details[[#This Row],[Profit]])</f>
        <v>553</v>
      </c>
      <c r="F461">
        <v>2</v>
      </c>
      <c r="G461">
        <f>PRODUCT(Details[[#This Row],[Selling_Cost]],Details[[#This Row],[Quantity]])</f>
        <v>1106</v>
      </c>
      <c r="H461" t="s">
        <v>16</v>
      </c>
      <c r="I461" t="s">
        <v>17</v>
      </c>
      <c r="J461" t="s">
        <v>27</v>
      </c>
      <c r="K461" t="s">
        <v>610</v>
      </c>
      <c r="L461" t="s">
        <v>563</v>
      </c>
    </row>
    <row r="462" spans="1:12" x14ac:dyDescent="0.3">
      <c r="A462" t="s">
        <v>87</v>
      </c>
      <c r="B462">
        <v>210</v>
      </c>
      <c r="C462">
        <v>62</v>
      </c>
      <c r="D462">
        <v>420</v>
      </c>
      <c r="E462">
        <f>SUM(Details[[#This Row],[Actual_Cost]],Details[[#This Row],[Profit]])</f>
        <v>482</v>
      </c>
      <c r="F462">
        <v>2</v>
      </c>
      <c r="G462">
        <f>PRODUCT(Details[[#This Row],[Selling_Cost]],Details[[#This Row],[Quantity]])</f>
        <v>964</v>
      </c>
      <c r="H462" t="s">
        <v>13</v>
      </c>
      <c r="I462" t="s">
        <v>14</v>
      </c>
      <c r="J462" t="s">
        <v>10</v>
      </c>
      <c r="K462" t="s">
        <v>587</v>
      </c>
      <c r="L462" t="s">
        <v>550</v>
      </c>
    </row>
    <row r="463" spans="1:12" x14ac:dyDescent="0.3">
      <c r="A463" t="s">
        <v>209</v>
      </c>
      <c r="B463">
        <v>379</v>
      </c>
      <c r="C463">
        <v>63</v>
      </c>
      <c r="D463">
        <v>758</v>
      </c>
      <c r="E463">
        <f>SUM(Details[[#This Row],[Actual_Cost]],Details[[#This Row],[Profit]])</f>
        <v>821</v>
      </c>
      <c r="F463">
        <v>2</v>
      </c>
      <c r="G463">
        <f>PRODUCT(Details[[#This Row],[Selling_Cost]],Details[[#This Row],[Quantity]])</f>
        <v>1642</v>
      </c>
      <c r="H463" t="s">
        <v>8</v>
      </c>
      <c r="I463" t="s">
        <v>9</v>
      </c>
      <c r="J463" t="s">
        <v>10</v>
      </c>
      <c r="K463" t="s">
        <v>561</v>
      </c>
      <c r="L463" t="s">
        <v>563</v>
      </c>
    </row>
    <row r="464" spans="1:12" x14ac:dyDescent="0.3">
      <c r="A464" t="s">
        <v>138</v>
      </c>
      <c r="B464">
        <v>260</v>
      </c>
      <c r="C464">
        <v>68</v>
      </c>
      <c r="D464">
        <v>520</v>
      </c>
      <c r="E464">
        <f>SUM(Details[[#This Row],[Actual_Cost]],Details[[#This Row],[Profit]])</f>
        <v>588</v>
      </c>
      <c r="F464">
        <v>2</v>
      </c>
      <c r="G464">
        <f>PRODUCT(Details[[#This Row],[Selling_Cost]],Details[[#This Row],[Quantity]])</f>
        <v>1176</v>
      </c>
      <c r="H464" t="s">
        <v>13</v>
      </c>
      <c r="I464" t="s">
        <v>20</v>
      </c>
      <c r="J464" t="s">
        <v>10</v>
      </c>
      <c r="K464" t="s">
        <v>548</v>
      </c>
      <c r="L464" t="s">
        <v>546</v>
      </c>
    </row>
    <row r="465" spans="1:12" x14ac:dyDescent="0.3">
      <c r="A465" t="s">
        <v>99</v>
      </c>
      <c r="B465">
        <v>217</v>
      </c>
      <c r="C465">
        <v>72</v>
      </c>
      <c r="D465">
        <v>434</v>
      </c>
      <c r="E465">
        <f>SUM(Details[[#This Row],[Actual_Cost]],Details[[#This Row],[Profit]])</f>
        <v>506</v>
      </c>
      <c r="F465">
        <v>2</v>
      </c>
      <c r="G465">
        <f>PRODUCT(Details[[#This Row],[Selling_Cost]],Details[[#This Row],[Quantity]])</f>
        <v>1012</v>
      </c>
      <c r="H465" t="s">
        <v>16</v>
      </c>
      <c r="I465" t="s">
        <v>32</v>
      </c>
      <c r="J465" t="s">
        <v>10</v>
      </c>
      <c r="K465" t="s">
        <v>543</v>
      </c>
      <c r="L465" t="s">
        <v>544</v>
      </c>
    </row>
    <row r="466" spans="1:12" x14ac:dyDescent="0.3">
      <c r="A466" t="s">
        <v>309</v>
      </c>
      <c r="B466">
        <v>311</v>
      </c>
      <c r="C466">
        <v>72</v>
      </c>
      <c r="D466">
        <v>622</v>
      </c>
      <c r="E466">
        <f>SUM(Details[[#This Row],[Actual_Cost]],Details[[#This Row],[Profit]])</f>
        <v>694</v>
      </c>
      <c r="F466">
        <v>2</v>
      </c>
      <c r="G466">
        <f>PRODUCT(Details[[#This Row],[Selling_Cost]],Details[[#This Row],[Quantity]])</f>
        <v>1388</v>
      </c>
      <c r="H466" t="s">
        <v>16</v>
      </c>
      <c r="I466" t="s">
        <v>17</v>
      </c>
      <c r="J466" t="s">
        <v>10</v>
      </c>
      <c r="K466" t="s">
        <v>641</v>
      </c>
      <c r="L466" t="s">
        <v>544</v>
      </c>
    </row>
    <row r="467" spans="1:12" x14ac:dyDescent="0.3">
      <c r="A467" t="s">
        <v>310</v>
      </c>
      <c r="B467">
        <v>162</v>
      </c>
      <c r="C467">
        <v>73</v>
      </c>
      <c r="D467">
        <v>324</v>
      </c>
      <c r="E467">
        <f>SUM(Details[[#This Row],[Actual_Cost]],Details[[#This Row],[Profit]])</f>
        <v>397</v>
      </c>
      <c r="F467">
        <v>2</v>
      </c>
      <c r="G467">
        <f>PRODUCT(Details[[#This Row],[Selling_Cost]],Details[[#This Row],[Quantity]])</f>
        <v>794</v>
      </c>
      <c r="H467" t="s">
        <v>13</v>
      </c>
      <c r="I467" t="s">
        <v>34</v>
      </c>
      <c r="J467" t="s">
        <v>10</v>
      </c>
      <c r="K467" t="s">
        <v>607</v>
      </c>
      <c r="L467" t="s">
        <v>544</v>
      </c>
    </row>
    <row r="468" spans="1:12" x14ac:dyDescent="0.3">
      <c r="A468" t="s">
        <v>71</v>
      </c>
      <c r="B468">
        <v>170</v>
      </c>
      <c r="C468">
        <v>73</v>
      </c>
      <c r="D468">
        <v>340</v>
      </c>
      <c r="E468">
        <f>SUM(Details[[#This Row],[Actual_Cost]],Details[[#This Row],[Profit]])</f>
        <v>413</v>
      </c>
      <c r="F468">
        <v>2</v>
      </c>
      <c r="G468">
        <f>PRODUCT(Details[[#This Row],[Selling_Cost]],Details[[#This Row],[Quantity]])</f>
        <v>826</v>
      </c>
      <c r="H468" t="s">
        <v>13</v>
      </c>
      <c r="I468" t="s">
        <v>55</v>
      </c>
      <c r="J468" t="s">
        <v>18</v>
      </c>
      <c r="K468" t="s">
        <v>661</v>
      </c>
      <c r="L468" t="s">
        <v>567</v>
      </c>
    </row>
    <row r="469" spans="1:12" x14ac:dyDescent="0.3">
      <c r="A469" t="s">
        <v>308</v>
      </c>
      <c r="B469">
        <v>298</v>
      </c>
      <c r="C469">
        <v>74</v>
      </c>
      <c r="D469">
        <v>596</v>
      </c>
      <c r="E469">
        <f>SUM(Details[[#This Row],[Actual_Cost]],Details[[#This Row],[Profit]])</f>
        <v>670</v>
      </c>
      <c r="F469">
        <v>2</v>
      </c>
      <c r="G469">
        <f>PRODUCT(Details[[#This Row],[Selling_Cost]],Details[[#This Row],[Quantity]])</f>
        <v>1340</v>
      </c>
      <c r="H469" t="s">
        <v>16</v>
      </c>
      <c r="I469" t="s">
        <v>17</v>
      </c>
      <c r="J469" t="s">
        <v>10</v>
      </c>
      <c r="K469" t="s">
        <v>610</v>
      </c>
      <c r="L469" t="s">
        <v>563</v>
      </c>
    </row>
    <row r="470" spans="1:12" x14ac:dyDescent="0.3">
      <c r="A470" t="s">
        <v>311</v>
      </c>
      <c r="B470">
        <v>163</v>
      </c>
      <c r="C470">
        <v>81</v>
      </c>
      <c r="D470">
        <v>326</v>
      </c>
      <c r="E470">
        <f>SUM(Details[[#This Row],[Actual_Cost]],Details[[#This Row],[Profit]])</f>
        <v>407</v>
      </c>
      <c r="F470">
        <v>2</v>
      </c>
      <c r="G470">
        <f>PRODUCT(Details[[#This Row],[Selling_Cost]],Details[[#This Row],[Quantity]])</f>
        <v>814</v>
      </c>
      <c r="H470" t="s">
        <v>13</v>
      </c>
      <c r="I470" t="s">
        <v>55</v>
      </c>
      <c r="J470" t="s">
        <v>10</v>
      </c>
      <c r="K470" t="s">
        <v>548</v>
      </c>
      <c r="L470" t="s">
        <v>541</v>
      </c>
    </row>
    <row r="471" spans="1:12" x14ac:dyDescent="0.3">
      <c r="A471" t="s">
        <v>312</v>
      </c>
      <c r="B471">
        <v>244</v>
      </c>
      <c r="C471">
        <v>83</v>
      </c>
      <c r="D471">
        <v>488</v>
      </c>
      <c r="E471">
        <f>SUM(Details[[#This Row],[Actual_Cost]],Details[[#This Row],[Profit]])</f>
        <v>571</v>
      </c>
      <c r="F471">
        <v>2</v>
      </c>
      <c r="G471">
        <f>PRODUCT(Details[[#This Row],[Selling_Cost]],Details[[#This Row],[Quantity]])</f>
        <v>1142</v>
      </c>
      <c r="H471" t="s">
        <v>16</v>
      </c>
      <c r="I471" t="s">
        <v>17</v>
      </c>
      <c r="J471" t="s">
        <v>10</v>
      </c>
      <c r="K471" t="s">
        <v>552</v>
      </c>
      <c r="L471" t="s">
        <v>546</v>
      </c>
    </row>
    <row r="472" spans="1:12" x14ac:dyDescent="0.3">
      <c r="A472" t="s">
        <v>313</v>
      </c>
      <c r="B472">
        <v>203</v>
      </c>
      <c r="C472">
        <v>84</v>
      </c>
      <c r="D472">
        <v>406</v>
      </c>
      <c r="E472">
        <f>SUM(Details[[#This Row],[Actual_Cost]],Details[[#This Row],[Profit]])</f>
        <v>490</v>
      </c>
      <c r="F472">
        <v>2</v>
      </c>
      <c r="G472">
        <f>PRODUCT(Details[[#This Row],[Selling_Cost]],Details[[#This Row],[Quantity]])</f>
        <v>980</v>
      </c>
      <c r="H472" t="s">
        <v>13</v>
      </c>
      <c r="I472" t="s">
        <v>20</v>
      </c>
      <c r="J472" t="s">
        <v>18</v>
      </c>
      <c r="K472" t="s">
        <v>548</v>
      </c>
      <c r="L472" t="s">
        <v>546</v>
      </c>
    </row>
    <row r="473" spans="1:12" x14ac:dyDescent="0.3">
      <c r="A473" t="s">
        <v>314</v>
      </c>
      <c r="B473">
        <v>490</v>
      </c>
      <c r="C473">
        <v>88</v>
      </c>
      <c r="D473">
        <v>980</v>
      </c>
      <c r="E473">
        <f>SUM(Details[[#This Row],[Actual_Cost]],Details[[#This Row],[Profit]])</f>
        <v>1068</v>
      </c>
      <c r="F473">
        <v>2</v>
      </c>
      <c r="G473">
        <f>PRODUCT(Details[[#This Row],[Selling_Cost]],Details[[#This Row],[Quantity]])</f>
        <v>2136</v>
      </c>
      <c r="H473" t="s">
        <v>13</v>
      </c>
      <c r="I473" t="s">
        <v>55</v>
      </c>
      <c r="J473" t="s">
        <v>125</v>
      </c>
      <c r="K473" t="s">
        <v>632</v>
      </c>
      <c r="L473" t="s">
        <v>541</v>
      </c>
    </row>
    <row r="474" spans="1:12" x14ac:dyDescent="0.3">
      <c r="A474" t="s">
        <v>252</v>
      </c>
      <c r="B474">
        <v>245</v>
      </c>
      <c r="C474">
        <v>91</v>
      </c>
      <c r="D474">
        <v>490</v>
      </c>
      <c r="E474">
        <f>SUM(Details[[#This Row],[Actual_Cost]],Details[[#This Row],[Profit]])</f>
        <v>581</v>
      </c>
      <c r="F474">
        <v>2</v>
      </c>
      <c r="G474">
        <f>PRODUCT(Details[[#This Row],[Selling_Cost]],Details[[#This Row],[Quantity]])</f>
        <v>1162</v>
      </c>
      <c r="H474" t="s">
        <v>16</v>
      </c>
      <c r="I474" t="s">
        <v>17</v>
      </c>
      <c r="J474" t="s">
        <v>18</v>
      </c>
      <c r="K474" t="s">
        <v>543</v>
      </c>
      <c r="L474" t="s">
        <v>546</v>
      </c>
    </row>
    <row r="475" spans="1:12" x14ac:dyDescent="0.3">
      <c r="A475" t="s">
        <v>258</v>
      </c>
      <c r="B475">
        <v>382</v>
      </c>
      <c r="C475">
        <v>92</v>
      </c>
      <c r="D475">
        <v>764</v>
      </c>
      <c r="E475">
        <f>SUM(Details[[#This Row],[Actual_Cost]],Details[[#This Row],[Profit]])</f>
        <v>856</v>
      </c>
      <c r="F475">
        <v>2</v>
      </c>
      <c r="G475">
        <f>PRODUCT(Details[[#This Row],[Selling_Cost]],Details[[#This Row],[Quantity]])</f>
        <v>1712</v>
      </c>
      <c r="H475" t="s">
        <v>13</v>
      </c>
      <c r="I475" t="s">
        <v>20</v>
      </c>
      <c r="J475" t="s">
        <v>10</v>
      </c>
      <c r="K475" t="s">
        <v>607</v>
      </c>
      <c r="L475" t="s">
        <v>541</v>
      </c>
    </row>
    <row r="476" spans="1:12" x14ac:dyDescent="0.3">
      <c r="A476" t="s">
        <v>101</v>
      </c>
      <c r="B476">
        <v>291</v>
      </c>
      <c r="C476">
        <v>93</v>
      </c>
      <c r="D476">
        <v>582</v>
      </c>
      <c r="E476">
        <f>SUM(Details[[#This Row],[Actual_Cost]],Details[[#This Row],[Profit]])</f>
        <v>675</v>
      </c>
      <c r="F476">
        <v>2</v>
      </c>
      <c r="G476">
        <f>PRODUCT(Details[[#This Row],[Selling_Cost]],Details[[#This Row],[Quantity]])</f>
        <v>1350</v>
      </c>
      <c r="H476" t="s">
        <v>13</v>
      </c>
      <c r="I476" t="s">
        <v>20</v>
      </c>
      <c r="J476" t="s">
        <v>10</v>
      </c>
      <c r="K476" t="s">
        <v>548</v>
      </c>
      <c r="L476" t="s">
        <v>544</v>
      </c>
    </row>
    <row r="477" spans="1:12" x14ac:dyDescent="0.3">
      <c r="A477" t="s">
        <v>315</v>
      </c>
      <c r="B477">
        <v>388</v>
      </c>
      <c r="C477">
        <v>93</v>
      </c>
      <c r="D477">
        <v>776</v>
      </c>
      <c r="E477">
        <f>SUM(Details[[#This Row],[Actual_Cost]],Details[[#This Row],[Profit]])</f>
        <v>869</v>
      </c>
      <c r="F477">
        <v>2</v>
      </c>
      <c r="G477">
        <f>PRODUCT(Details[[#This Row],[Selling_Cost]],Details[[#This Row],[Quantity]])</f>
        <v>1738</v>
      </c>
      <c r="H477" t="s">
        <v>16</v>
      </c>
      <c r="I477" t="s">
        <v>17</v>
      </c>
      <c r="J477" t="s">
        <v>10</v>
      </c>
      <c r="K477" t="s">
        <v>569</v>
      </c>
      <c r="L477" t="s">
        <v>550</v>
      </c>
    </row>
    <row r="478" spans="1:12" x14ac:dyDescent="0.3">
      <c r="A478" t="s">
        <v>123</v>
      </c>
      <c r="B478">
        <v>231</v>
      </c>
      <c r="C478">
        <v>99</v>
      </c>
      <c r="D478">
        <v>462</v>
      </c>
      <c r="E478">
        <f>SUM(Details[[#This Row],[Actual_Cost]],Details[[#This Row],[Profit]])</f>
        <v>561</v>
      </c>
      <c r="F478">
        <v>2</v>
      </c>
      <c r="G478">
        <f>PRODUCT(Details[[#This Row],[Selling_Cost]],Details[[#This Row],[Quantity]])</f>
        <v>1122</v>
      </c>
      <c r="H478" t="s">
        <v>13</v>
      </c>
      <c r="I478" t="s">
        <v>34</v>
      </c>
      <c r="J478" t="s">
        <v>27</v>
      </c>
      <c r="K478" t="s">
        <v>548</v>
      </c>
      <c r="L478" t="s">
        <v>544</v>
      </c>
    </row>
    <row r="479" spans="1:12" x14ac:dyDescent="0.3">
      <c r="A479" t="s">
        <v>121</v>
      </c>
      <c r="B479">
        <v>248</v>
      </c>
      <c r="C479">
        <v>105</v>
      </c>
      <c r="D479">
        <v>496</v>
      </c>
      <c r="E479">
        <f>SUM(Details[[#This Row],[Actual_Cost]],Details[[#This Row],[Profit]])</f>
        <v>601</v>
      </c>
      <c r="F479">
        <v>2</v>
      </c>
      <c r="G479">
        <f>PRODUCT(Details[[#This Row],[Selling_Cost]],Details[[#This Row],[Quantity]])</f>
        <v>1202</v>
      </c>
      <c r="H479" t="s">
        <v>13</v>
      </c>
      <c r="I479" t="s">
        <v>14</v>
      </c>
      <c r="J479" t="s">
        <v>42</v>
      </c>
      <c r="K479" t="s">
        <v>632</v>
      </c>
      <c r="L479" t="s">
        <v>546</v>
      </c>
    </row>
    <row r="480" spans="1:12" x14ac:dyDescent="0.3">
      <c r="A480" t="s">
        <v>134</v>
      </c>
      <c r="B480">
        <v>299</v>
      </c>
      <c r="C480">
        <v>113</v>
      </c>
      <c r="D480">
        <v>598</v>
      </c>
      <c r="E480">
        <f>SUM(Details[[#This Row],[Actual_Cost]],Details[[#This Row],[Profit]])</f>
        <v>711</v>
      </c>
      <c r="F480">
        <v>2</v>
      </c>
      <c r="G480">
        <f>PRODUCT(Details[[#This Row],[Selling_Cost]],Details[[#This Row],[Quantity]])</f>
        <v>1422</v>
      </c>
      <c r="H480" t="s">
        <v>16</v>
      </c>
      <c r="I480" t="s">
        <v>17</v>
      </c>
      <c r="J480" t="s">
        <v>10</v>
      </c>
      <c r="K480" t="s">
        <v>552</v>
      </c>
      <c r="L480" t="s">
        <v>583</v>
      </c>
    </row>
    <row r="481" spans="1:12" x14ac:dyDescent="0.3">
      <c r="A481" t="s">
        <v>314</v>
      </c>
      <c r="B481">
        <v>382</v>
      </c>
      <c r="C481">
        <v>119</v>
      </c>
      <c r="D481">
        <v>764</v>
      </c>
      <c r="E481">
        <f>SUM(Details[[#This Row],[Actual_Cost]],Details[[#This Row],[Profit]])</f>
        <v>883</v>
      </c>
      <c r="F481">
        <v>2</v>
      </c>
      <c r="G481">
        <f>PRODUCT(Details[[#This Row],[Selling_Cost]],Details[[#This Row],[Quantity]])</f>
        <v>1766</v>
      </c>
      <c r="H481" t="s">
        <v>8</v>
      </c>
      <c r="I481" t="s">
        <v>9</v>
      </c>
      <c r="J481" t="s">
        <v>27</v>
      </c>
      <c r="K481" t="s">
        <v>632</v>
      </c>
      <c r="L481" t="s">
        <v>541</v>
      </c>
    </row>
    <row r="482" spans="1:12" x14ac:dyDescent="0.3">
      <c r="A482" t="s">
        <v>226</v>
      </c>
      <c r="B482">
        <v>1745</v>
      </c>
      <c r="C482">
        <v>122</v>
      </c>
      <c r="D482">
        <v>3490</v>
      </c>
      <c r="E482">
        <f>SUM(Details[[#This Row],[Actual_Cost]],Details[[#This Row],[Profit]])</f>
        <v>3612</v>
      </c>
      <c r="F482">
        <v>2</v>
      </c>
      <c r="G482">
        <f>PRODUCT(Details[[#This Row],[Selling_Cost]],Details[[#This Row],[Quantity]])</f>
        <v>7224</v>
      </c>
      <c r="H482" t="s">
        <v>16</v>
      </c>
      <c r="I482" t="s">
        <v>146</v>
      </c>
      <c r="J482" t="s">
        <v>27</v>
      </c>
      <c r="K482" t="s">
        <v>552</v>
      </c>
      <c r="L482" t="s">
        <v>544</v>
      </c>
    </row>
    <row r="483" spans="1:12" x14ac:dyDescent="0.3">
      <c r="A483" t="s">
        <v>89</v>
      </c>
      <c r="B483">
        <v>406</v>
      </c>
      <c r="C483">
        <v>126</v>
      </c>
      <c r="D483">
        <v>812</v>
      </c>
      <c r="E483">
        <f>SUM(Details[[#This Row],[Actual_Cost]],Details[[#This Row],[Profit]])</f>
        <v>938</v>
      </c>
      <c r="F483">
        <v>2</v>
      </c>
      <c r="G483">
        <f>PRODUCT(Details[[#This Row],[Selling_Cost]],Details[[#This Row],[Quantity]])</f>
        <v>1876</v>
      </c>
      <c r="H483" t="s">
        <v>8</v>
      </c>
      <c r="I483" t="s">
        <v>9</v>
      </c>
      <c r="J483" t="s">
        <v>10</v>
      </c>
      <c r="K483" t="s">
        <v>548</v>
      </c>
      <c r="L483" t="s">
        <v>624</v>
      </c>
    </row>
    <row r="484" spans="1:12" x14ac:dyDescent="0.3">
      <c r="A484" t="s">
        <v>316</v>
      </c>
      <c r="B484">
        <v>285</v>
      </c>
      <c r="C484">
        <v>128</v>
      </c>
      <c r="D484">
        <v>570</v>
      </c>
      <c r="E484">
        <f>SUM(Details[[#This Row],[Actual_Cost]],Details[[#This Row],[Profit]])</f>
        <v>698</v>
      </c>
      <c r="F484">
        <v>2</v>
      </c>
      <c r="G484">
        <f>PRODUCT(Details[[#This Row],[Selling_Cost]],Details[[#This Row],[Quantity]])</f>
        <v>1396</v>
      </c>
      <c r="H484" t="s">
        <v>13</v>
      </c>
      <c r="I484" t="s">
        <v>20</v>
      </c>
      <c r="J484" t="s">
        <v>10</v>
      </c>
      <c r="K484" t="s">
        <v>539</v>
      </c>
      <c r="L484" t="s">
        <v>544</v>
      </c>
    </row>
    <row r="485" spans="1:12" x14ac:dyDescent="0.3">
      <c r="A485" t="s">
        <v>267</v>
      </c>
      <c r="B485">
        <v>871</v>
      </c>
      <c r="C485">
        <v>131</v>
      </c>
      <c r="D485">
        <v>1742</v>
      </c>
      <c r="E485">
        <f>SUM(Details[[#This Row],[Actual_Cost]],Details[[#This Row],[Profit]])</f>
        <v>1873</v>
      </c>
      <c r="F485">
        <v>2</v>
      </c>
      <c r="G485">
        <f>PRODUCT(Details[[#This Row],[Selling_Cost]],Details[[#This Row],[Quantity]])</f>
        <v>3746</v>
      </c>
      <c r="H485" t="s">
        <v>16</v>
      </c>
      <c r="I485" t="s">
        <v>17</v>
      </c>
      <c r="J485" t="s">
        <v>18</v>
      </c>
      <c r="K485" t="s">
        <v>543</v>
      </c>
      <c r="L485" t="s">
        <v>550</v>
      </c>
    </row>
    <row r="486" spans="1:12" x14ac:dyDescent="0.3">
      <c r="A486" t="s">
        <v>317</v>
      </c>
      <c r="B486">
        <v>294</v>
      </c>
      <c r="C486">
        <v>138</v>
      </c>
      <c r="D486">
        <v>588</v>
      </c>
      <c r="E486">
        <f>SUM(Details[[#This Row],[Actual_Cost]],Details[[#This Row],[Profit]])</f>
        <v>726</v>
      </c>
      <c r="F486">
        <v>2</v>
      </c>
      <c r="G486">
        <f>PRODUCT(Details[[#This Row],[Selling_Cost]],Details[[#This Row],[Quantity]])</f>
        <v>1452</v>
      </c>
      <c r="H486" t="s">
        <v>13</v>
      </c>
      <c r="I486" t="s">
        <v>20</v>
      </c>
      <c r="J486" t="s">
        <v>42</v>
      </c>
      <c r="K486" t="s">
        <v>552</v>
      </c>
      <c r="L486" t="s">
        <v>624</v>
      </c>
    </row>
    <row r="487" spans="1:12" x14ac:dyDescent="0.3">
      <c r="A487" t="s">
        <v>108</v>
      </c>
      <c r="B487">
        <v>357</v>
      </c>
      <c r="C487">
        <v>139</v>
      </c>
      <c r="D487">
        <v>714</v>
      </c>
      <c r="E487">
        <f>SUM(Details[[#This Row],[Actual_Cost]],Details[[#This Row],[Profit]])</f>
        <v>853</v>
      </c>
      <c r="F487">
        <v>2</v>
      </c>
      <c r="G487">
        <f>PRODUCT(Details[[#This Row],[Selling_Cost]],Details[[#This Row],[Quantity]])</f>
        <v>1706</v>
      </c>
      <c r="H487" t="s">
        <v>8</v>
      </c>
      <c r="I487" t="s">
        <v>9</v>
      </c>
      <c r="J487" t="s">
        <v>42</v>
      </c>
      <c r="K487" t="s">
        <v>548</v>
      </c>
      <c r="L487" t="s">
        <v>585</v>
      </c>
    </row>
    <row r="488" spans="1:12" x14ac:dyDescent="0.3">
      <c r="A488" t="s">
        <v>318</v>
      </c>
      <c r="B488">
        <v>381</v>
      </c>
      <c r="C488">
        <v>144</v>
      </c>
      <c r="D488">
        <v>762</v>
      </c>
      <c r="E488">
        <f>SUM(Details[[#This Row],[Actual_Cost]],Details[[#This Row],[Profit]])</f>
        <v>906</v>
      </c>
      <c r="F488">
        <v>2</v>
      </c>
      <c r="G488">
        <f>PRODUCT(Details[[#This Row],[Selling_Cost]],Details[[#This Row],[Quantity]])</f>
        <v>1812</v>
      </c>
      <c r="H488" t="s">
        <v>8</v>
      </c>
      <c r="I488" t="s">
        <v>9</v>
      </c>
      <c r="J488" t="s">
        <v>10</v>
      </c>
      <c r="K488" t="s">
        <v>548</v>
      </c>
      <c r="L488" t="s">
        <v>567</v>
      </c>
    </row>
    <row r="489" spans="1:12" x14ac:dyDescent="0.3">
      <c r="A489" t="s">
        <v>291</v>
      </c>
      <c r="B489">
        <v>394</v>
      </c>
      <c r="C489">
        <v>146</v>
      </c>
      <c r="D489">
        <v>788</v>
      </c>
      <c r="E489">
        <f>SUM(Details[[#This Row],[Actual_Cost]],Details[[#This Row],[Profit]])</f>
        <v>934</v>
      </c>
      <c r="F489">
        <v>2</v>
      </c>
      <c r="G489">
        <f>PRODUCT(Details[[#This Row],[Selling_Cost]],Details[[#This Row],[Quantity]])</f>
        <v>1868</v>
      </c>
      <c r="H489" t="s">
        <v>16</v>
      </c>
      <c r="I489" t="s">
        <v>17</v>
      </c>
      <c r="J489" t="s">
        <v>18</v>
      </c>
      <c r="K489" t="s">
        <v>552</v>
      </c>
      <c r="L489" t="s">
        <v>567</v>
      </c>
    </row>
    <row r="490" spans="1:12" x14ac:dyDescent="0.3">
      <c r="A490" t="s">
        <v>209</v>
      </c>
      <c r="B490">
        <v>448</v>
      </c>
      <c r="C490">
        <v>148</v>
      </c>
      <c r="D490">
        <v>896</v>
      </c>
      <c r="E490">
        <f>SUM(Details[[#This Row],[Actual_Cost]],Details[[#This Row],[Profit]])</f>
        <v>1044</v>
      </c>
      <c r="F490">
        <v>2</v>
      </c>
      <c r="G490">
        <f>PRODUCT(Details[[#This Row],[Selling_Cost]],Details[[#This Row],[Quantity]])</f>
        <v>2088</v>
      </c>
      <c r="H490" t="s">
        <v>13</v>
      </c>
      <c r="I490" t="s">
        <v>20</v>
      </c>
      <c r="J490" t="s">
        <v>10</v>
      </c>
      <c r="K490" t="s">
        <v>561</v>
      </c>
      <c r="L490" t="s">
        <v>563</v>
      </c>
    </row>
    <row r="491" spans="1:12" x14ac:dyDescent="0.3">
      <c r="A491" t="s">
        <v>243</v>
      </c>
      <c r="B491">
        <v>424</v>
      </c>
      <c r="C491">
        <v>161</v>
      </c>
      <c r="D491">
        <v>848</v>
      </c>
      <c r="E491">
        <f>SUM(Details[[#This Row],[Actual_Cost]],Details[[#This Row],[Profit]])</f>
        <v>1009</v>
      </c>
      <c r="F491">
        <v>2</v>
      </c>
      <c r="G491">
        <f>PRODUCT(Details[[#This Row],[Selling_Cost]],Details[[#This Row],[Quantity]])</f>
        <v>2018</v>
      </c>
      <c r="H491" t="s">
        <v>8</v>
      </c>
      <c r="I491" t="s">
        <v>9</v>
      </c>
      <c r="J491" t="s">
        <v>10</v>
      </c>
      <c r="K491" t="s">
        <v>578</v>
      </c>
      <c r="L491" t="s">
        <v>541</v>
      </c>
    </row>
    <row r="492" spans="1:12" x14ac:dyDescent="0.3">
      <c r="A492" t="s">
        <v>95</v>
      </c>
      <c r="B492">
        <v>644</v>
      </c>
      <c r="C492">
        <v>167</v>
      </c>
      <c r="D492">
        <v>1288</v>
      </c>
      <c r="E492">
        <f>SUM(Details[[#This Row],[Actual_Cost]],Details[[#This Row],[Profit]])</f>
        <v>1455</v>
      </c>
      <c r="F492">
        <v>2</v>
      </c>
      <c r="G492">
        <f>PRODUCT(Details[[#This Row],[Selling_Cost]],Details[[#This Row],[Quantity]])</f>
        <v>2910</v>
      </c>
      <c r="H492" t="s">
        <v>13</v>
      </c>
      <c r="I492" t="s">
        <v>20</v>
      </c>
      <c r="J492" t="s">
        <v>10</v>
      </c>
      <c r="K492" t="s">
        <v>552</v>
      </c>
      <c r="L492" t="s">
        <v>546</v>
      </c>
    </row>
    <row r="493" spans="1:12" x14ac:dyDescent="0.3">
      <c r="A493" t="s">
        <v>70</v>
      </c>
      <c r="B493">
        <v>492</v>
      </c>
      <c r="C493">
        <v>187</v>
      </c>
      <c r="D493">
        <v>984</v>
      </c>
      <c r="E493">
        <f>SUM(Details[[#This Row],[Actual_Cost]],Details[[#This Row],[Profit]])</f>
        <v>1171</v>
      </c>
      <c r="F493">
        <v>2</v>
      </c>
      <c r="G493">
        <f>PRODUCT(Details[[#This Row],[Selling_Cost]],Details[[#This Row],[Quantity]])</f>
        <v>2342</v>
      </c>
      <c r="H493" t="s">
        <v>13</v>
      </c>
      <c r="I493" t="s">
        <v>55</v>
      </c>
      <c r="J493" t="s">
        <v>18</v>
      </c>
      <c r="K493" t="s">
        <v>548</v>
      </c>
      <c r="L493" t="s">
        <v>541</v>
      </c>
    </row>
    <row r="494" spans="1:12" x14ac:dyDescent="0.3">
      <c r="A494" t="s">
        <v>121</v>
      </c>
      <c r="B494">
        <v>742</v>
      </c>
      <c r="C494">
        <v>198</v>
      </c>
      <c r="D494">
        <v>1484</v>
      </c>
      <c r="E494">
        <f>SUM(Details[[#This Row],[Actual_Cost]],Details[[#This Row],[Profit]])</f>
        <v>1682</v>
      </c>
      <c r="F494">
        <v>2</v>
      </c>
      <c r="G494">
        <f>PRODUCT(Details[[#This Row],[Selling_Cost]],Details[[#This Row],[Quantity]])</f>
        <v>3364</v>
      </c>
      <c r="H494" t="s">
        <v>16</v>
      </c>
      <c r="I494" t="s">
        <v>17</v>
      </c>
      <c r="J494" t="s">
        <v>27</v>
      </c>
      <c r="K494" t="s">
        <v>632</v>
      </c>
      <c r="L494" t="s">
        <v>546</v>
      </c>
    </row>
    <row r="495" spans="1:12" x14ac:dyDescent="0.3">
      <c r="A495" t="s">
        <v>313</v>
      </c>
      <c r="B495">
        <v>742</v>
      </c>
      <c r="C495">
        <v>198</v>
      </c>
      <c r="D495">
        <v>1484</v>
      </c>
      <c r="E495">
        <f>SUM(Details[[#This Row],[Actual_Cost]],Details[[#This Row],[Profit]])</f>
        <v>1682</v>
      </c>
      <c r="F495">
        <v>2</v>
      </c>
      <c r="G495">
        <f>PRODUCT(Details[[#This Row],[Selling_Cost]],Details[[#This Row],[Quantity]])</f>
        <v>3364</v>
      </c>
      <c r="H495" t="s">
        <v>16</v>
      </c>
      <c r="I495" t="s">
        <v>17</v>
      </c>
      <c r="J495" t="s">
        <v>10</v>
      </c>
      <c r="K495" t="s">
        <v>548</v>
      </c>
      <c r="L495" t="s">
        <v>546</v>
      </c>
    </row>
    <row r="496" spans="1:12" x14ac:dyDescent="0.3">
      <c r="A496" t="s">
        <v>120</v>
      </c>
      <c r="B496">
        <v>508</v>
      </c>
      <c r="C496">
        <v>203</v>
      </c>
      <c r="D496">
        <v>1016</v>
      </c>
      <c r="E496">
        <f>SUM(Details[[#This Row],[Actual_Cost]],Details[[#This Row],[Profit]])</f>
        <v>1219</v>
      </c>
      <c r="F496">
        <v>2</v>
      </c>
      <c r="G496">
        <f>PRODUCT(Details[[#This Row],[Selling_Cost]],Details[[#This Row],[Quantity]])</f>
        <v>2438</v>
      </c>
      <c r="H496" t="s">
        <v>13</v>
      </c>
      <c r="I496" t="s">
        <v>55</v>
      </c>
      <c r="J496" t="s">
        <v>42</v>
      </c>
      <c r="K496" t="s">
        <v>552</v>
      </c>
      <c r="L496" t="s">
        <v>541</v>
      </c>
    </row>
    <row r="497" spans="1:12" x14ac:dyDescent="0.3">
      <c r="A497" t="s">
        <v>71</v>
      </c>
      <c r="B497">
        <v>1118</v>
      </c>
      <c r="C497">
        <v>206</v>
      </c>
      <c r="D497">
        <v>2236</v>
      </c>
      <c r="E497">
        <f>SUM(Details[[#This Row],[Actual_Cost]],Details[[#This Row],[Profit]])</f>
        <v>2442</v>
      </c>
      <c r="F497">
        <v>2</v>
      </c>
      <c r="G497">
        <f>PRODUCT(Details[[#This Row],[Selling_Cost]],Details[[#This Row],[Quantity]])</f>
        <v>4884</v>
      </c>
      <c r="H497" t="s">
        <v>16</v>
      </c>
      <c r="I497" t="s">
        <v>146</v>
      </c>
      <c r="J497" t="s">
        <v>27</v>
      </c>
      <c r="K497" t="s">
        <v>661</v>
      </c>
      <c r="L497" t="s">
        <v>567</v>
      </c>
    </row>
    <row r="498" spans="1:12" x14ac:dyDescent="0.3">
      <c r="A498" t="s">
        <v>180</v>
      </c>
      <c r="B498">
        <v>262</v>
      </c>
      <c r="C498">
        <v>215</v>
      </c>
      <c r="D498">
        <v>524</v>
      </c>
      <c r="E498">
        <f>SUM(Details[[#This Row],[Actual_Cost]],Details[[#This Row],[Profit]])</f>
        <v>739</v>
      </c>
      <c r="F498">
        <v>2</v>
      </c>
      <c r="G498">
        <f>PRODUCT(Details[[#This Row],[Selling_Cost]],Details[[#This Row],[Quantity]])</f>
        <v>1478</v>
      </c>
      <c r="H498" t="s">
        <v>13</v>
      </c>
      <c r="I498" t="s">
        <v>20</v>
      </c>
      <c r="J498" t="s">
        <v>42</v>
      </c>
      <c r="K498" t="s">
        <v>578</v>
      </c>
      <c r="L498" t="s">
        <v>554</v>
      </c>
    </row>
    <row r="499" spans="1:12" x14ac:dyDescent="0.3">
      <c r="A499" t="s">
        <v>213</v>
      </c>
      <c r="B499">
        <v>513</v>
      </c>
      <c r="C499">
        <v>215</v>
      </c>
      <c r="D499">
        <v>1026</v>
      </c>
      <c r="E499">
        <f>SUM(Details[[#This Row],[Actual_Cost]],Details[[#This Row],[Profit]])</f>
        <v>1241</v>
      </c>
      <c r="F499">
        <v>2</v>
      </c>
      <c r="G499">
        <f>PRODUCT(Details[[#This Row],[Selling_Cost]],Details[[#This Row],[Quantity]])</f>
        <v>2482</v>
      </c>
      <c r="H499" t="s">
        <v>13</v>
      </c>
      <c r="I499" t="s">
        <v>55</v>
      </c>
      <c r="J499" t="s">
        <v>10</v>
      </c>
      <c r="K499" t="s">
        <v>661</v>
      </c>
      <c r="L499" t="s">
        <v>567</v>
      </c>
    </row>
    <row r="500" spans="1:12" x14ac:dyDescent="0.3">
      <c r="A500" t="s">
        <v>319</v>
      </c>
      <c r="B500">
        <v>643</v>
      </c>
      <c r="C500">
        <v>225</v>
      </c>
      <c r="D500">
        <v>1286</v>
      </c>
      <c r="E500">
        <f>SUM(Details[[#This Row],[Actual_Cost]],Details[[#This Row],[Profit]])</f>
        <v>1511</v>
      </c>
      <c r="F500">
        <v>2</v>
      </c>
      <c r="G500">
        <f>PRODUCT(Details[[#This Row],[Selling_Cost]],Details[[#This Row],[Quantity]])</f>
        <v>3022</v>
      </c>
      <c r="H500" t="s">
        <v>13</v>
      </c>
      <c r="I500" t="s">
        <v>20</v>
      </c>
      <c r="J500" t="s">
        <v>10</v>
      </c>
      <c r="K500" t="s">
        <v>605</v>
      </c>
      <c r="L500" t="s">
        <v>567</v>
      </c>
    </row>
    <row r="501" spans="1:12" x14ac:dyDescent="0.3">
      <c r="A501" t="s">
        <v>261</v>
      </c>
      <c r="B501">
        <v>828</v>
      </c>
      <c r="C501">
        <v>230</v>
      </c>
      <c r="D501">
        <v>1656</v>
      </c>
      <c r="E501">
        <f>SUM(Details[[#This Row],[Actual_Cost]],Details[[#This Row],[Profit]])</f>
        <v>1886</v>
      </c>
      <c r="F501">
        <v>2</v>
      </c>
      <c r="G501">
        <f>PRODUCT(Details[[#This Row],[Selling_Cost]],Details[[#This Row],[Quantity]])</f>
        <v>3772</v>
      </c>
      <c r="H501" t="s">
        <v>16</v>
      </c>
      <c r="I501" t="s">
        <v>23</v>
      </c>
      <c r="J501" t="s">
        <v>10</v>
      </c>
      <c r="K501" t="s">
        <v>552</v>
      </c>
      <c r="L501" t="s">
        <v>541</v>
      </c>
    </row>
    <row r="502" spans="1:12" x14ac:dyDescent="0.3">
      <c r="A502" t="s">
        <v>320</v>
      </c>
      <c r="B502">
        <v>662</v>
      </c>
      <c r="C502">
        <v>240</v>
      </c>
      <c r="D502">
        <v>1324</v>
      </c>
      <c r="E502">
        <f>SUM(Details[[#This Row],[Actual_Cost]],Details[[#This Row],[Profit]])</f>
        <v>1564</v>
      </c>
      <c r="F502">
        <v>2</v>
      </c>
      <c r="G502">
        <f>PRODUCT(Details[[#This Row],[Selling_Cost]],Details[[#This Row],[Quantity]])</f>
        <v>3128</v>
      </c>
      <c r="H502" t="s">
        <v>16</v>
      </c>
      <c r="I502" t="s">
        <v>17</v>
      </c>
      <c r="J502" t="s">
        <v>10</v>
      </c>
      <c r="K502" t="s">
        <v>607</v>
      </c>
      <c r="L502" t="s">
        <v>546</v>
      </c>
    </row>
    <row r="503" spans="1:12" x14ac:dyDescent="0.3">
      <c r="A503" t="s">
        <v>291</v>
      </c>
      <c r="B503">
        <v>734</v>
      </c>
      <c r="C503">
        <v>248</v>
      </c>
      <c r="D503">
        <v>1468</v>
      </c>
      <c r="E503">
        <f>SUM(Details[[#This Row],[Actual_Cost]],Details[[#This Row],[Profit]])</f>
        <v>1716</v>
      </c>
      <c r="F503">
        <v>2</v>
      </c>
      <c r="G503">
        <f>PRODUCT(Details[[#This Row],[Selling_Cost]],Details[[#This Row],[Quantity]])</f>
        <v>3432</v>
      </c>
      <c r="H503" t="s">
        <v>16</v>
      </c>
      <c r="I503" t="s">
        <v>23</v>
      </c>
      <c r="J503" t="s">
        <v>10</v>
      </c>
      <c r="K503" t="s">
        <v>552</v>
      </c>
      <c r="L503" t="s">
        <v>567</v>
      </c>
    </row>
    <row r="504" spans="1:12" x14ac:dyDescent="0.3">
      <c r="A504" t="s">
        <v>321</v>
      </c>
      <c r="B504">
        <v>724</v>
      </c>
      <c r="C504">
        <v>253</v>
      </c>
      <c r="D504">
        <v>1448</v>
      </c>
      <c r="E504">
        <f>SUM(Details[[#This Row],[Actual_Cost]],Details[[#This Row],[Profit]])</f>
        <v>1701</v>
      </c>
      <c r="F504">
        <v>2</v>
      </c>
      <c r="G504">
        <f>PRODUCT(Details[[#This Row],[Selling_Cost]],Details[[#This Row],[Quantity]])</f>
        <v>3402</v>
      </c>
      <c r="H504" t="s">
        <v>16</v>
      </c>
      <c r="I504" t="s">
        <v>17</v>
      </c>
      <c r="J504" t="s">
        <v>18</v>
      </c>
      <c r="K504" t="s">
        <v>552</v>
      </c>
      <c r="L504" t="s">
        <v>567</v>
      </c>
    </row>
    <row r="505" spans="1:12" x14ac:dyDescent="0.3">
      <c r="A505" t="s">
        <v>322</v>
      </c>
      <c r="B505">
        <v>637</v>
      </c>
      <c r="C505">
        <v>261</v>
      </c>
      <c r="D505">
        <v>1274</v>
      </c>
      <c r="E505">
        <f>SUM(Details[[#This Row],[Actual_Cost]],Details[[#This Row],[Profit]])</f>
        <v>1535</v>
      </c>
      <c r="F505">
        <v>2</v>
      </c>
      <c r="G505">
        <f>PRODUCT(Details[[#This Row],[Selling_Cost]],Details[[#This Row],[Quantity]])</f>
        <v>3070</v>
      </c>
      <c r="H505" t="s">
        <v>13</v>
      </c>
      <c r="I505" t="s">
        <v>20</v>
      </c>
      <c r="J505" t="s">
        <v>10</v>
      </c>
      <c r="K505" t="s">
        <v>548</v>
      </c>
      <c r="L505" t="s">
        <v>563</v>
      </c>
    </row>
    <row r="506" spans="1:12" x14ac:dyDescent="0.3">
      <c r="A506" t="s">
        <v>80</v>
      </c>
      <c r="B506">
        <v>1275</v>
      </c>
      <c r="C506">
        <v>357</v>
      </c>
      <c r="D506">
        <v>2550</v>
      </c>
      <c r="E506">
        <f>SUM(Details[[#This Row],[Actual_Cost]],Details[[#This Row],[Profit]])</f>
        <v>2907</v>
      </c>
      <c r="F506">
        <v>2</v>
      </c>
      <c r="G506">
        <f>PRODUCT(Details[[#This Row],[Selling_Cost]],Details[[#This Row],[Quantity]])</f>
        <v>5814</v>
      </c>
      <c r="H506" t="s">
        <v>13</v>
      </c>
      <c r="I506" t="s">
        <v>14</v>
      </c>
      <c r="J506" t="s">
        <v>18</v>
      </c>
      <c r="K506" t="s">
        <v>552</v>
      </c>
      <c r="L506" t="s">
        <v>567</v>
      </c>
    </row>
    <row r="507" spans="1:12" x14ac:dyDescent="0.3">
      <c r="A507" t="s">
        <v>141</v>
      </c>
      <c r="B507">
        <v>757</v>
      </c>
      <c r="C507">
        <v>371</v>
      </c>
      <c r="D507">
        <v>1514</v>
      </c>
      <c r="E507">
        <f>SUM(Details[[#This Row],[Actual_Cost]],Details[[#This Row],[Profit]])</f>
        <v>1885</v>
      </c>
      <c r="F507">
        <v>2</v>
      </c>
      <c r="G507">
        <f>PRODUCT(Details[[#This Row],[Selling_Cost]],Details[[#This Row],[Quantity]])</f>
        <v>3770</v>
      </c>
      <c r="H507" t="s">
        <v>13</v>
      </c>
      <c r="I507" t="s">
        <v>20</v>
      </c>
      <c r="J507" t="s">
        <v>27</v>
      </c>
      <c r="K507" t="s">
        <v>552</v>
      </c>
      <c r="L507" t="s">
        <v>563</v>
      </c>
    </row>
    <row r="508" spans="1:12" x14ac:dyDescent="0.3">
      <c r="A508" t="s">
        <v>323</v>
      </c>
      <c r="B508">
        <v>757</v>
      </c>
      <c r="C508">
        <v>371</v>
      </c>
      <c r="D508">
        <v>1514</v>
      </c>
      <c r="E508">
        <f>SUM(Details[[#This Row],[Actual_Cost]],Details[[#This Row],[Profit]])</f>
        <v>1885</v>
      </c>
      <c r="F508">
        <v>2</v>
      </c>
      <c r="G508">
        <f>PRODUCT(Details[[#This Row],[Selling_Cost]],Details[[#This Row],[Quantity]])</f>
        <v>3770</v>
      </c>
      <c r="H508" t="s">
        <v>13</v>
      </c>
      <c r="I508" t="s">
        <v>20</v>
      </c>
      <c r="J508" t="s">
        <v>27</v>
      </c>
      <c r="K508" t="s">
        <v>592</v>
      </c>
      <c r="L508" t="s">
        <v>567</v>
      </c>
    </row>
    <row r="509" spans="1:12" x14ac:dyDescent="0.3">
      <c r="A509" t="s">
        <v>324</v>
      </c>
      <c r="B509">
        <v>877</v>
      </c>
      <c r="C509">
        <v>395</v>
      </c>
      <c r="D509">
        <v>1754</v>
      </c>
      <c r="E509">
        <f>SUM(Details[[#This Row],[Actual_Cost]],Details[[#This Row],[Profit]])</f>
        <v>2149</v>
      </c>
      <c r="F509">
        <v>2</v>
      </c>
      <c r="G509">
        <f>PRODUCT(Details[[#This Row],[Selling_Cost]],Details[[#This Row],[Quantity]])</f>
        <v>4298</v>
      </c>
      <c r="H509" t="s">
        <v>16</v>
      </c>
      <c r="I509" t="s">
        <v>17</v>
      </c>
      <c r="J509" t="s">
        <v>27</v>
      </c>
      <c r="K509" t="s">
        <v>552</v>
      </c>
      <c r="L509" t="s">
        <v>554</v>
      </c>
    </row>
    <row r="510" spans="1:12" x14ac:dyDescent="0.3">
      <c r="A510" t="s">
        <v>77</v>
      </c>
      <c r="B510">
        <v>1272</v>
      </c>
      <c r="C510">
        <v>547</v>
      </c>
      <c r="D510">
        <v>2544</v>
      </c>
      <c r="E510">
        <f>SUM(Details[[#This Row],[Actual_Cost]],Details[[#This Row],[Profit]])</f>
        <v>3091</v>
      </c>
      <c r="F510">
        <v>2</v>
      </c>
      <c r="G510">
        <f>PRODUCT(Details[[#This Row],[Selling_Cost]],Details[[#This Row],[Quantity]])</f>
        <v>6182</v>
      </c>
      <c r="H510" t="s">
        <v>13</v>
      </c>
      <c r="I510" t="s">
        <v>14</v>
      </c>
      <c r="J510" t="s">
        <v>10</v>
      </c>
      <c r="K510" t="s">
        <v>561</v>
      </c>
      <c r="L510" t="s">
        <v>544</v>
      </c>
    </row>
    <row r="511" spans="1:12" x14ac:dyDescent="0.3">
      <c r="A511" t="s">
        <v>251</v>
      </c>
      <c r="B511">
        <v>1137</v>
      </c>
      <c r="C511">
        <v>568</v>
      </c>
      <c r="D511">
        <v>2274</v>
      </c>
      <c r="E511">
        <f>SUM(Details[[#This Row],[Actual_Cost]],Details[[#This Row],[Profit]])</f>
        <v>2842</v>
      </c>
      <c r="F511">
        <v>2</v>
      </c>
      <c r="G511">
        <f>PRODUCT(Details[[#This Row],[Selling_Cost]],Details[[#This Row],[Quantity]])</f>
        <v>5684</v>
      </c>
      <c r="H511" t="s">
        <v>8</v>
      </c>
      <c r="I511" t="s">
        <v>41</v>
      </c>
      <c r="J511" t="s">
        <v>125</v>
      </c>
      <c r="K511" t="s">
        <v>569</v>
      </c>
      <c r="L511" t="s">
        <v>567</v>
      </c>
    </row>
    <row r="512" spans="1:12" x14ac:dyDescent="0.3">
      <c r="A512" t="s">
        <v>250</v>
      </c>
      <c r="B512">
        <v>1145</v>
      </c>
      <c r="C512">
        <v>-706</v>
      </c>
      <c r="D512">
        <v>3435</v>
      </c>
      <c r="E512">
        <f>SUM(Details[[#This Row],[Actual_Cost]],Details[[#This Row],[Profit]])</f>
        <v>2729</v>
      </c>
      <c r="F512">
        <v>3</v>
      </c>
      <c r="G512">
        <f>PRODUCT(Details[[#This Row],[Selling_Cost]],Details[[#This Row],[Quantity]])</f>
        <v>8187</v>
      </c>
      <c r="H512" t="s">
        <v>13</v>
      </c>
      <c r="I512" t="s">
        <v>14</v>
      </c>
      <c r="J512" t="s">
        <v>27</v>
      </c>
      <c r="K512" t="s">
        <v>607</v>
      </c>
      <c r="L512" t="s">
        <v>614</v>
      </c>
    </row>
    <row r="513" spans="1:12" x14ac:dyDescent="0.3">
      <c r="A513" t="s">
        <v>280</v>
      </c>
      <c r="B513">
        <v>469</v>
      </c>
      <c r="C513">
        <v>-459</v>
      </c>
      <c r="D513">
        <v>1407</v>
      </c>
      <c r="E513">
        <f>SUM(Details[[#This Row],[Actual_Cost]],Details[[#This Row],[Profit]])</f>
        <v>948</v>
      </c>
      <c r="F513">
        <v>3</v>
      </c>
      <c r="G513">
        <f>PRODUCT(Details[[#This Row],[Selling_Cost]],Details[[#This Row],[Quantity]])</f>
        <v>2844</v>
      </c>
      <c r="H513" t="s">
        <v>13</v>
      </c>
      <c r="I513" t="s">
        <v>34</v>
      </c>
      <c r="J513" t="s">
        <v>10</v>
      </c>
      <c r="K513" t="s">
        <v>548</v>
      </c>
      <c r="L513" t="s">
        <v>585</v>
      </c>
    </row>
    <row r="514" spans="1:12" x14ac:dyDescent="0.3">
      <c r="A514" t="s">
        <v>225</v>
      </c>
      <c r="B514">
        <v>1622</v>
      </c>
      <c r="C514">
        <v>-448</v>
      </c>
      <c r="D514">
        <v>4866</v>
      </c>
      <c r="E514">
        <f>SUM(Details[[#This Row],[Actual_Cost]],Details[[#This Row],[Profit]])</f>
        <v>4418</v>
      </c>
      <c r="F514">
        <v>3</v>
      </c>
      <c r="G514">
        <f>PRODUCT(Details[[#This Row],[Selling_Cost]],Details[[#This Row],[Quantity]])</f>
        <v>13254</v>
      </c>
      <c r="H514" t="s">
        <v>13</v>
      </c>
      <c r="I514" t="s">
        <v>14</v>
      </c>
      <c r="J514" t="s">
        <v>125</v>
      </c>
      <c r="K514" t="s">
        <v>548</v>
      </c>
      <c r="L514" t="s">
        <v>550</v>
      </c>
    </row>
    <row r="515" spans="1:12" x14ac:dyDescent="0.3">
      <c r="A515" t="s">
        <v>325</v>
      </c>
      <c r="B515">
        <v>193</v>
      </c>
      <c r="C515">
        <v>-275</v>
      </c>
      <c r="D515">
        <v>579</v>
      </c>
      <c r="E515">
        <f>SUM(Details[[#This Row],[Actual_Cost]],Details[[#This Row],[Profit]])</f>
        <v>304</v>
      </c>
      <c r="F515">
        <v>3</v>
      </c>
      <c r="G515">
        <f>PRODUCT(Details[[#This Row],[Selling_Cost]],Details[[#This Row],[Quantity]])</f>
        <v>912</v>
      </c>
      <c r="H515" t="s">
        <v>13</v>
      </c>
      <c r="I515" t="s">
        <v>14</v>
      </c>
      <c r="J515" t="s">
        <v>27</v>
      </c>
      <c r="K515" t="s">
        <v>607</v>
      </c>
      <c r="L515" t="s">
        <v>614</v>
      </c>
    </row>
    <row r="516" spans="1:12" x14ac:dyDescent="0.3">
      <c r="A516" t="s">
        <v>326</v>
      </c>
      <c r="B516">
        <v>646</v>
      </c>
      <c r="C516">
        <v>-213</v>
      </c>
      <c r="D516">
        <v>1938</v>
      </c>
      <c r="E516">
        <f>SUM(Details[[#This Row],[Actual_Cost]],Details[[#This Row],[Profit]])</f>
        <v>1725</v>
      </c>
      <c r="F516">
        <v>3</v>
      </c>
      <c r="G516">
        <f>PRODUCT(Details[[#This Row],[Selling_Cost]],Details[[#This Row],[Quantity]])</f>
        <v>5175</v>
      </c>
      <c r="H516" t="s">
        <v>13</v>
      </c>
      <c r="I516" t="s">
        <v>34</v>
      </c>
      <c r="J516" t="s">
        <v>10</v>
      </c>
      <c r="K516" t="s">
        <v>587</v>
      </c>
      <c r="L516" t="s">
        <v>550</v>
      </c>
    </row>
    <row r="517" spans="1:12" x14ac:dyDescent="0.3">
      <c r="A517" t="s">
        <v>200</v>
      </c>
      <c r="B517">
        <v>206</v>
      </c>
      <c r="C517">
        <v>-206</v>
      </c>
      <c r="D517">
        <v>618</v>
      </c>
      <c r="E517">
        <f>SUM(Details[[#This Row],[Actual_Cost]],Details[[#This Row],[Profit]])</f>
        <v>412</v>
      </c>
      <c r="F517">
        <v>3</v>
      </c>
      <c r="G517">
        <f>PRODUCT(Details[[#This Row],[Selling_Cost]],Details[[#This Row],[Quantity]])</f>
        <v>1236</v>
      </c>
      <c r="H517" t="s">
        <v>8</v>
      </c>
      <c r="I517" t="s">
        <v>9</v>
      </c>
      <c r="J517" t="s">
        <v>10</v>
      </c>
      <c r="K517" t="s">
        <v>661</v>
      </c>
      <c r="L517" t="s">
        <v>624</v>
      </c>
    </row>
    <row r="518" spans="1:12" x14ac:dyDescent="0.3">
      <c r="A518" t="s">
        <v>327</v>
      </c>
      <c r="B518">
        <v>623</v>
      </c>
      <c r="C518">
        <v>-192</v>
      </c>
      <c r="D518">
        <v>1869</v>
      </c>
      <c r="E518">
        <f>SUM(Details[[#This Row],[Actual_Cost]],Details[[#This Row],[Profit]])</f>
        <v>1677</v>
      </c>
      <c r="F518">
        <v>3</v>
      </c>
      <c r="G518">
        <f>PRODUCT(Details[[#This Row],[Selling_Cost]],Details[[#This Row],[Quantity]])</f>
        <v>5031</v>
      </c>
      <c r="H518" t="s">
        <v>16</v>
      </c>
      <c r="I518" t="s">
        <v>146</v>
      </c>
      <c r="J518" t="s">
        <v>18</v>
      </c>
      <c r="K518" t="s">
        <v>539</v>
      </c>
      <c r="L518" t="s">
        <v>583</v>
      </c>
    </row>
    <row r="519" spans="1:12" x14ac:dyDescent="0.3">
      <c r="A519" t="s">
        <v>25</v>
      </c>
      <c r="B519">
        <v>193</v>
      </c>
      <c r="C519">
        <v>-166</v>
      </c>
      <c r="D519">
        <v>579</v>
      </c>
      <c r="E519">
        <f>SUM(Details[[#This Row],[Actual_Cost]],Details[[#This Row],[Profit]])</f>
        <v>413</v>
      </c>
      <c r="F519">
        <v>3</v>
      </c>
      <c r="G519">
        <f>PRODUCT(Details[[#This Row],[Selling_Cost]],Details[[#This Row],[Quantity]])</f>
        <v>1239</v>
      </c>
      <c r="H519" t="s">
        <v>8</v>
      </c>
      <c r="I519" t="s">
        <v>9</v>
      </c>
      <c r="J519" t="s">
        <v>125</v>
      </c>
      <c r="K519" t="s">
        <v>552</v>
      </c>
      <c r="L519" t="s">
        <v>565</v>
      </c>
    </row>
    <row r="520" spans="1:12" x14ac:dyDescent="0.3">
      <c r="A520" t="s">
        <v>328</v>
      </c>
      <c r="B520">
        <v>1629</v>
      </c>
      <c r="C520">
        <v>-153</v>
      </c>
      <c r="D520">
        <v>4887</v>
      </c>
      <c r="E520">
        <f>SUM(Details[[#This Row],[Actual_Cost]],Details[[#This Row],[Profit]])</f>
        <v>4734</v>
      </c>
      <c r="F520">
        <v>3</v>
      </c>
      <c r="G520">
        <f>PRODUCT(Details[[#This Row],[Selling_Cost]],Details[[#This Row],[Quantity]])</f>
        <v>14202</v>
      </c>
      <c r="H520" t="s">
        <v>13</v>
      </c>
      <c r="I520" t="s">
        <v>14</v>
      </c>
      <c r="J520" t="s">
        <v>10</v>
      </c>
      <c r="K520" t="s">
        <v>552</v>
      </c>
      <c r="L520" t="s">
        <v>565</v>
      </c>
    </row>
    <row r="521" spans="1:12" x14ac:dyDescent="0.3">
      <c r="A521" t="s">
        <v>138</v>
      </c>
      <c r="B521">
        <v>544</v>
      </c>
      <c r="C521">
        <v>-152</v>
      </c>
      <c r="D521">
        <v>1632</v>
      </c>
      <c r="E521">
        <f>SUM(Details[[#This Row],[Actual_Cost]],Details[[#This Row],[Profit]])</f>
        <v>1480</v>
      </c>
      <c r="F521">
        <v>3</v>
      </c>
      <c r="G521">
        <f>PRODUCT(Details[[#This Row],[Selling_Cost]],Details[[#This Row],[Quantity]])</f>
        <v>4440</v>
      </c>
      <c r="H521" t="s">
        <v>16</v>
      </c>
      <c r="I521" t="s">
        <v>17</v>
      </c>
      <c r="J521" t="s">
        <v>10</v>
      </c>
      <c r="K521" t="s">
        <v>548</v>
      </c>
      <c r="L521" t="s">
        <v>546</v>
      </c>
    </row>
    <row r="522" spans="1:12" x14ac:dyDescent="0.3">
      <c r="A522" t="s">
        <v>329</v>
      </c>
      <c r="B522">
        <v>306</v>
      </c>
      <c r="C522">
        <v>-147</v>
      </c>
      <c r="D522">
        <v>918</v>
      </c>
      <c r="E522">
        <f>SUM(Details[[#This Row],[Actual_Cost]],Details[[#This Row],[Profit]])</f>
        <v>771</v>
      </c>
      <c r="F522">
        <v>3</v>
      </c>
      <c r="G522">
        <f>PRODUCT(Details[[#This Row],[Selling_Cost]],Details[[#This Row],[Quantity]])</f>
        <v>2313</v>
      </c>
      <c r="H522" t="s">
        <v>8</v>
      </c>
      <c r="I522" t="s">
        <v>9</v>
      </c>
      <c r="J522" t="s">
        <v>42</v>
      </c>
      <c r="K522" t="s">
        <v>548</v>
      </c>
      <c r="L522" t="s">
        <v>585</v>
      </c>
    </row>
    <row r="523" spans="1:12" x14ac:dyDescent="0.3">
      <c r="A523" t="s">
        <v>215</v>
      </c>
      <c r="B523">
        <v>192</v>
      </c>
      <c r="C523">
        <v>-146</v>
      </c>
      <c r="D523">
        <v>576</v>
      </c>
      <c r="E523">
        <f>SUM(Details[[#This Row],[Actual_Cost]],Details[[#This Row],[Profit]])</f>
        <v>430</v>
      </c>
      <c r="F523">
        <v>3</v>
      </c>
      <c r="G523">
        <f>PRODUCT(Details[[#This Row],[Selling_Cost]],Details[[#This Row],[Quantity]])</f>
        <v>1290</v>
      </c>
      <c r="H523" t="s">
        <v>8</v>
      </c>
      <c r="I523" t="s">
        <v>9</v>
      </c>
      <c r="J523" t="s">
        <v>10</v>
      </c>
      <c r="K523" t="s">
        <v>632</v>
      </c>
      <c r="L523" t="s">
        <v>583</v>
      </c>
    </row>
    <row r="524" spans="1:12" x14ac:dyDescent="0.3">
      <c r="A524" t="s">
        <v>243</v>
      </c>
      <c r="B524">
        <v>213</v>
      </c>
      <c r="C524">
        <v>-145</v>
      </c>
      <c r="D524">
        <v>639</v>
      </c>
      <c r="E524">
        <f>SUM(Details[[#This Row],[Actual_Cost]],Details[[#This Row],[Profit]])</f>
        <v>494</v>
      </c>
      <c r="F524">
        <v>3</v>
      </c>
      <c r="G524">
        <f>PRODUCT(Details[[#This Row],[Selling_Cost]],Details[[#This Row],[Quantity]])</f>
        <v>1482</v>
      </c>
      <c r="H524" t="s">
        <v>16</v>
      </c>
      <c r="I524" t="s">
        <v>17</v>
      </c>
      <c r="J524" t="s">
        <v>42</v>
      </c>
      <c r="K524" t="s">
        <v>578</v>
      </c>
      <c r="L524" t="s">
        <v>541</v>
      </c>
    </row>
    <row r="525" spans="1:12" x14ac:dyDescent="0.3">
      <c r="A525" t="s">
        <v>184</v>
      </c>
      <c r="B525">
        <v>224</v>
      </c>
      <c r="C525">
        <v>-143</v>
      </c>
      <c r="D525">
        <v>672</v>
      </c>
      <c r="E525">
        <f>SUM(Details[[#This Row],[Actual_Cost]],Details[[#This Row],[Profit]])</f>
        <v>529</v>
      </c>
      <c r="F525">
        <v>3</v>
      </c>
      <c r="G525">
        <f>PRODUCT(Details[[#This Row],[Selling_Cost]],Details[[#This Row],[Quantity]])</f>
        <v>1587</v>
      </c>
      <c r="H525" t="s">
        <v>16</v>
      </c>
      <c r="I525" t="s">
        <v>23</v>
      </c>
      <c r="J525" t="s">
        <v>10</v>
      </c>
      <c r="K525" t="s">
        <v>592</v>
      </c>
      <c r="L525" t="s">
        <v>583</v>
      </c>
    </row>
    <row r="526" spans="1:12" x14ac:dyDescent="0.3">
      <c r="A526" t="s">
        <v>330</v>
      </c>
      <c r="B526">
        <v>460</v>
      </c>
      <c r="C526">
        <v>-143</v>
      </c>
      <c r="D526">
        <v>1380</v>
      </c>
      <c r="E526">
        <f>SUM(Details[[#This Row],[Actual_Cost]],Details[[#This Row],[Profit]])</f>
        <v>1237</v>
      </c>
      <c r="F526">
        <v>3</v>
      </c>
      <c r="G526">
        <f>PRODUCT(Details[[#This Row],[Selling_Cost]],Details[[#This Row],[Quantity]])</f>
        <v>3711</v>
      </c>
      <c r="H526" t="s">
        <v>16</v>
      </c>
      <c r="I526" t="s">
        <v>23</v>
      </c>
      <c r="J526" t="s">
        <v>42</v>
      </c>
      <c r="K526" t="s">
        <v>543</v>
      </c>
      <c r="L526" t="s">
        <v>550</v>
      </c>
    </row>
    <row r="527" spans="1:12" x14ac:dyDescent="0.3">
      <c r="A527" t="s">
        <v>331</v>
      </c>
      <c r="B527">
        <v>216</v>
      </c>
      <c r="C527">
        <v>-135</v>
      </c>
      <c r="D527">
        <v>648</v>
      </c>
      <c r="E527">
        <f>SUM(Details[[#This Row],[Actual_Cost]],Details[[#This Row],[Profit]])</f>
        <v>513</v>
      </c>
      <c r="F527">
        <v>3</v>
      </c>
      <c r="G527">
        <f>PRODUCT(Details[[#This Row],[Selling_Cost]],Details[[#This Row],[Quantity]])</f>
        <v>1539</v>
      </c>
      <c r="H527" t="s">
        <v>16</v>
      </c>
      <c r="I527" t="s">
        <v>23</v>
      </c>
      <c r="J527" t="s">
        <v>27</v>
      </c>
      <c r="K527" t="s">
        <v>592</v>
      </c>
      <c r="L527" t="s">
        <v>546</v>
      </c>
    </row>
    <row r="528" spans="1:12" x14ac:dyDescent="0.3">
      <c r="A528" t="s">
        <v>190</v>
      </c>
      <c r="B528">
        <v>205</v>
      </c>
      <c r="C528">
        <v>-119</v>
      </c>
      <c r="D528">
        <v>615</v>
      </c>
      <c r="E528">
        <f>SUM(Details[[#This Row],[Actual_Cost]],Details[[#This Row],[Profit]])</f>
        <v>496</v>
      </c>
      <c r="F528">
        <v>3</v>
      </c>
      <c r="G528">
        <f>PRODUCT(Details[[#This Row],[Selling_Cost]],Details[[#This Row],[Quantity]])</f>
        <v>1488</v>
      </c>
      <c r="H528" t="s">
        <v>8</v>
      </c>
      <c r="I528" t="s">
        <v>9</v>
      </c>
      <c r="J528" t="s">
        <v>42</v>
      </c>
      <c r="K528" t="s">
        <v>569</v>
      </c>
      <c r="L528" t="s">
        <v>563</v>
      </c>
    </row>
    <row r="529" spans="1:12" x14ac:dyDescent="0.3">
      <c r="A529" t="s">
        <v>74</v>
      </c>
      <c r="B529">
        <v>172</v>
      </c>
      <c r="C529">
        <v>-103</v>
      </c>
      <c r="D529">
        <v>516</v>
      </c>
      <c r="E529">
        <f>SUM(Details[[#This Row],[Actual_Cost]],Details[[#This Row],[Profit]])</f>
        <v>413</v>
      </c>
      <c r="F529">
        <v>3</v>
      </c>
      <c r="G529">
        <f>PRODUCT(Details[[#This Row],[Selling_Cost]],Details[[#This Row],[Quantity]])</f>
        <v>1239</v>
      </c>
      <c r="H529" t="s">
        <v>16</v>
      </c>
      <c r="I529" t="s">
        <v>23</v>
      </c>
      <c r="J529" t="s">
        <v>125</v>
      </c>
      <c r="K529" t="s">
        <v>552</v>
      </c>
      <c r="L529" t="s">
        <v>624</v>
      </c>
    </row>
    <row r="530" spans="1:12" x14ac:dyDescent="0.3">
      <c r="A530" t="s">
        <v>145</v>
      </c>
      <c r="B530">
        <v>915</v>
      </c>
      <c r="C530">
        <v>-99</v>
      </c>
      <c r="D530">
        <v>2745</v>
      </c>
      <c r="E530">
        <f>SUM(Details[[#This Row],[Actual_Cost]],Details[[#This Row],[Profit]])</f>
        <v>2646</v>
      </c>
      <c r="F530">
        <v>3</v>
      </c>
      <c r="G530">
        <f>PRODUCT(Details[[#This Row],[Selling_Cost]],Details[[#This Row],[Quantity]])</f>
        <v>7938</v>
      </c>
      <c r="H530" t="s">
        <v>16</v>
      </c>
      <c r="I530" t="s">
        <v>146</v>
      </c>
      <c r="J530" t="s">
        <v>42</v>
      </c>
      <c r="K530" t="s">
        <v>607</v>
      </c>
      <c r="L530" t="s">
        <v>550</v>
      </c>
    </row>
    <row r="531" spans="1:12" x14ac:dyDescent="0.3">
      <c r="A531" t="s">
        <v>332</v>
      </c>
      <c r="B531">
        <v>816</v>
      </c>
      <c r="C531">
        <v>-96</v>
      </c>
      <c r="D531">
        <v>2448</v>
      </c>
      <c r="E531">
        <f>SUM(Details[[#This Row],[Actual_Cost]],Details[[#This Row],[Profit]])</f>
        <v>2352</v>
      </c>
      <c r="F531">
        <v>3</v>
      </c>
      <c r="G531">
        <f>PRODUCT(Details[[#This Row],[Selling_Cost]],Details[[#This Row],[Quantity]])</f>
        <v>7056</v>
      </c>
      <c r="H531" t="s">
        <v>13</v>
      </c>
      <c r="I531" t="s">
        <v>20</v>
      </c>
      <c r="J531" t="s">
        <v>42</v>
      </c>
      <c r="K531" t="s">
        <v>548</v>
      </c>
      <c r="L531" t="s">
        <v>565</v>
      </c>
    </row>
    <row r="532" spans="1:12" x14ac:dyDescent="0.3">
      <c r="A532" t="s">
        <v>159</v>
      </c>
      <c r="B532">
        <v>450</v>
      </c>
      <c r="C532">
        <v>-90</v>
      </c>
      <c r="D532">
        <v>1350</v>
      </c>
      <c r="E532">
        <f>SUM(Details[[#This Row],[Actual_Cost]],Details[[#This Row],[Profit]])</f>
        <v>1260</v>
      </c>
      <c r="F532">
        <v>3</v>
      </c>
      <c r="G532">
        <f>PRODUCT(Details[[#This Row],[Selling_Cost]],Details[[#This Row],[Quantity]])</f>
        <v>3780</v>
      </c>
      <c r="H532" t="s">
        <v>13</v>
      </c>
      <c r="I532" t="s">
        <v>20</v>
      </c>
      <c r="J532" t="s">
        <v>10</v>
      </c>
      <c r="K532" t="s">
        <v>548</v>
      </c>
      <c r="L532" t="s">
        <v>624</v>
      </c>
    </row>
    <row r="533" spans="1:12" x14ac:dyDescent="0.3">
      <c r="A533" t="s">
        <v>331</v>
      </c>
      <c r="B533">
        <v>154</v>
      </c>
      <c r="C533">
        <v>-85</v>
      </c>
      <c r="D533">
        <v>462</v>
      </c>
      <c r="E533">
        <f>SUM(Details[[#This Row],[Actual_Cost]],Details[[#This Row],[Profit]])</f>
        <v>377</v>
      </c>
      <c r="F533">
        <v>3</v>
      </c>
      <c r="G533">
        <f>PRODUCT(Details[[#This Row],[Selling_Cost]],Details[[#This Row],[Quantity]])</f>
        <v>1131</v>
      </c>
      <c r="H533" t="s">
        <v>16</v>
      </c>
      <c r="I533" t="s">
        <v>23</v>
      </c>
      <c r="J533" t="s">
        <v>125</v>
      </c>
      <c r="K533" t="s">
        <v>592</v>
      </c>
      <c r="L533" t="s">
        <v>546</v>
      </c>
    </row>
    <row r="534" spans="1:12" x14ac:dyDescent="0.3">
      <c r="A534" t="s">
        <v>333</v>
      </c>
      <c r="B534">
        <v>93</v>
      </c>
      <c r="C534">
        <v>-84</v>
      </c>
      <c r="D534">
        <v>279</v>
      </c>
      <c r="E534">
        <f>SUM(Details[[#This Row],[Actual_Cost]],Details[[#This Row],[Profit]])</f>
        <v>195</v>
      </c>
      <c r="F534">
        <v>3</v>
      </c>
      <c r="G534">
        <f>PRODUCT(Details[[#This Row],[Selling_Cost]],Details[[#This Row],[Quantity]])</f>
        <v>585</v>
      </c>
      <c r="H534" t="s">
        <v>8</v>
      </c>
      <c r="I534" t="s">
        <v>9</v>
      </c>
      <c r="J534" t="s">
        <v>18</v>
      </c>
      <c r="K534" t="s">
        <v>626</v>
      </c>
      <c r="L534" t="s">
        <v>541</v>
      </c>
    </row>
    <row r="535" spans="1:12" x14ac:dyDescent="0.3">
      <c r="A535" t="s">
        <v>237</v>
      </c>
      <c r="B535">
        <v>216</v>
      </c>
      <c r="C535">
        <v>-83</v>
      </c>
      <c r="D535">
        <v>648</v>
      </c>
      <c r="E535">
        <f>SUM(Details[[#This Row],[Actual_Cost]],Details[[#This Row],[Profit]])</f>
        <v>565</v>
      </c>
      <c r="F535">
        <v>3</v>
      </c>
      <c r="G535">
        <f>PRODUCT(Details[[#This Row],[Selling_Cost]],Details[[#This Row],[Quantity]])</f>
        <v>1695</v>
      </c>
      <c r="H535" t="s">
        <v>13</v>
      </c>
      <c r="I535" t="s">
        <v>34</v>
      </c>
      <c r="J535" t="s">
        <v>10</v>
      </c>
      <c r="K535" t="s">
        <v>539</v>
      </c>
      <c r="L535" t="s">
        <v>567</v>
      </c>
    </row>
    <row r="536" spans="1:12" x14ac:dyDescent="0.3">
      <c r="A536" t="s">
        <v>334</v>
      </c>
      <c r="B536">
        <v>389</v>
      </c>
      <c r="C536">
        <v>-83</v>
      </c>
      <c r="D536">
        <v>1167</v>
      </c>
      <c r="E536">
        <f>SUM(Details[[#This Row],[Actual_Cost]],Details[[#This Row],[Profit]])</f>
        <v>1084</v>
      </c>
      <c r="F536">
        <v>3</v>
      </c>
      <c r="G536">
        <f>PRODUCT(Details[[#This Row],[Selling_Cost]],Details[[#This Row],[Quantity]])</f>
        <v>3252</v>
      </c>
      <c r="H536" t="s">
        <v>16</v>
      </c>
      <c r="I536" t="s">
        <v>23</v>
      </c>
      <c r="J536" t="s">
        <v>18</v>
      </c>
      <c r="K536" t="s">
        <v>661</v>
      </c>
      <c r="L536" t="s">
        <v>565</v>
      </c>
    </row>
    <row r="537" spans="1:12" x14ac:dyDescent="0.3">
      <c r="A537" t="s">
        <v>335</v>
      </c>
      <c r="B537">
        <v>1052</v>
      </c>
      <c r="C537">
        <v>-82</v>
      </c>
      <c r="D537">
        <v>3156</v>
      </c>
      <c r="E537">
        <f>SUM(Details[[#This Row],[Actual_Cost]],Details[[#This Row],[Profit]])</f>
        <v>3074</v>
      </c>
      <c r="F537">
        <v>3</v>
      </c>
      <c r="G537">
        <f>PRODUCT(Details[[#This Row],[Selling_Cost]],Details[[#This Row],[Quantity]])</f>
        <v>9222</v>
      </c>
      <c r="H537" t="s">
        <v>16</v>
      </c>
      <c r="I537" t="s">
        <v>17</v>
      </c>
      <c r="J537" t="s">
        <v>18</v>
      </c>
      <c r="K537" t="s">
        <v>548</v>
      </c>
      <c r="L537" t="s">
        <v>554</v>
      </c>
    </row>
    <row r="538" spans="1:12" x14ac:dyDescent="0.3">
      <c r="A538" t="s">
        <v>250</v>
      </c>
      <c r="B538">
        <v>83</v>
      </c>
      <c r="C538">
        <v>-81</v>
      </c>
      <c r="D538">
        <v>249</v>
      </c>
      <c r="E538">
        <f>SUM(Details[[#This Row],[Actual_Cost]],Details[[#This Row],[Profit]])</f>
        <v>168</v>
      </c>
      <c r="F538">
        <v>3</v>
      </c>
      <c r="G538">
        <f>PRODUCT(Details[[#This Row],[Selling_Cost]],Details[[#This Row],[Quantity]])</f>
        <v>504</v>
      </c>
      <c r="H538" t="s">
        <v>16</v>
      </c>
      <c r="I538" t="s">
        <v>23</v>
      </c>
      <c r="J538" t="s">
        <v>10</v>
      </c>
      <c r="K538" t="s">
        <v>607</v>
      </c>
      <c r="L538" t="s">
        <v>614</v>
      </c>
    </row>
    <row r="539" spans="1:12" x14ac:dyDescent="0.3">
      <c r="A539" t="s">
        <v>171</v>
      </c>
      <c r="B539">
        <v>224</v>
      </c>
      <c r="C539">
        <v>-81</v>
      </c>
      <c r="D539">
        <v>672</v>
      </c>
      <c r="E539">
        <f>SUM(Details[[#This Row],[Actual_Cost]],Details[[#This Row],[Profit]])</f>
        <v>591</v>
      </c>
      <c r="F539">
        <v>3</v>
      </c>
      <c r="G539">
        <f>PRODUCT(Details[[#This Row],[Selling_Cost]],Details[[#This Row],[Quantity]])</f>
        <v>1773</v>
      </c>
      <c r="H539" t="s">
        <v>16</v>
      </c>
      <c r="I539" t="s">
        <v>23</v>
      </c>
      <c r="J539" t="s">
        <v>10</v>
      </c>
      <c r="K539" t="s">
        <v>641</v>
      </c>
      <c r="L539" t="s">
        <v>624</v>
      </c>
    </row>
    <row r="540" spans="1:12" x14ac:dyDescent="0.3">
      <c r="A540" t="s">
        <v>336</v>
      </c>
      <c r="B540">
        <v>245</v>
      </c>
      <c r="C540">
        <v>-78</v>
      </c>
      <c r="D540">
        <v>735</v>
      </c>
      <c r="E540">
        <f>SUM(Details[[#This Row],[Actual_Cost]],Details[[#This Row],[Profit]])</f>
        <v>657</v>
      </c>
      <c r="F540">
        <v>3</v>
      </c>
      <c r="G540">
        <f>PRODUCT(Details[[#This Row],[Selling_Cost]],Details[[#This Row],[Quantity]])</f>
        <v>1971</v>
      </c>
      <c r="H540" t="s">
        <v>8</v>
      </c>
      <c r="I540" t="s">
        <v>9</v>
      </c>
      <c r="J540" t="s">
        <v>10</v>
      </c>
      <c r="K540" t="s">
        <v>610</v>
      </c>
      <c r="L540" t="s">
        <v>624</v>
      </c>
    </row>
    <row r="541" spans="1:12" x14ac:dyDescent="0.3">
      <c r="A541" t="s">
        <v>63</v>
      </c>
      <c r="B541">
        <v>1625</v>
      </c>
      <c r="C541">
        <v>-77</v>
      </c>
      <c r="D541">
        <v>4875</v>
      </c>
      <c r="E541">
        <f>SUM(Details[[#This Row],[Actual_Cost]],Details[[#This Row],[Profit]])</f>
        <v>4798</v>
      </c>
      <c r="F541">
        <v>3</v>
      </c>
      <c r="G541">
        <f>PRODUCT(Details[[#This Row],[Selling_Cost]],Details[[#This Row],[Quantity]])</f>
        <v>14394</v>
      </c>
      <c r="H541" t="s">
        <v>13</v>
      </c>
      <c r="I541" t="s">
        <v>14</v>
      </c>
      <c r="J541" t="s">
        <v>125</v>
      </c>
      <c r="K541" t="s">
        <v>552</v>
      </c>
      <c r="L541" t="s">
        <v>585</v>
      </c>
    </row>
    <row r="542" spans="1:12" x14ac:dyDescent="0.3">
      <c r="A542" t="s">
        <v>200</v>
      </c>
      <c r="B542">
        <v>174</v>
      </c>
      <c r="C542">
        <v>-70</v>
      </c>
      <c r="D542">
        <v>522</v>
      </c>
      <c r="E542">
        <f>SUM(Details[[#This Row],[Actual_Cost]],Details[[#This Row],[Profit]])</f>
        <v>452</v>
      </c>
      <c r="F542">
        <v>3</v>
      </c>
      <c r="G542">
        <f>PRODUCT(Details[[#This Row],[Selling_Cost]],Details[[#This Row],[Quantity]])</f>
        <v>1356</v>
      </c>
      <c r="H542" t="s">
        <v>13</v>
      </c>
      <c r="I542" t="s">
        <v>55</v>
      </c>
      <c r="J542" t="s">
        <v>10</v>
      </c>
      <c r="K542" t="s">
        <v>661</v>
      </c>
      <c r="L542" t="s">
        <v>624</v>
      </c>
    </row>
    <row r="543" spans="1:12" x14ac:dyDescent="0.3">
      <c r="A543" t="s">
        <v>184</v>
      </c>
      <c r="B543">
        <v>248</v>
      </c>
      <c r="C543">
        <v>-70</v>
      </c>
      <c r="D543">
        <v>744</v>
      </c>
      <c r="E543">
        <f>SUM(Details[[#This Row],[Actual_Cost]],Details[[#This Row],[Profit]])</f>
        <v>674</v>
      </c>
      <c r="F543">
        <v>3</v>
      </c>
      <c r="G543">
        <f>PRODUCT(Details[[#This Row],[Selling_Cost]],Details[[#This Row],[Quantity]])</f>
        <v>2022</v>
      </c>
      <c r="H543" t="s">
        <v>16</v>
      </c>
      <c r="I543" t="s">
        <v>23</v>
      </c>
      <c r="J543" t="s">
        <v>27</v>
      </c>
      <c r="K543" t="s">
        <v>592</v>
      </c>
      <c r="L543" t="s">
        <v>583</v>
      </c>
    </row>
    <row r="544" spans="1:12" x14ac:dyDescent="0.3">
      <c r="A544" t="s">
        <v>120</v>
      </c>
      <c r="B544">
        <v>965</v>
      </c>
      <c r="C544">
        <v>-68</v>
      </c>
      <c r="D544">
        <v>2895</v>
      </c>
      <c r="E544">
        <f>SUM(Details[[#This Row],[Actual_Cost]],Details[[#This Row],[Profit]])</f>
        <v>2827</v>
      </c>
      <c r="F544">
        <v>3</v>
      </c>
      <c r="G544">
        <f>PRODUCT(Details[[#This Row],[Selling_Cost]],Details[[#This Row],[Quantity]])</f>
        <v>8481</v>
      </c>
      <c r="H544" t="s">
        <v>13</v>
      </c>
      <c r="I544" t="s">
        <v>20</v>
      </c>
      <c r="J544" t="s">
        <v>10</v>
      </c>
      <c r="K544" t="s">
        <v>552</v>
      </c>
      <c r="L544" t="s">
        <v>541</v>
      </c>
    </row>
    <row r="545" spans="1:12" x14ac:dyDescent="0.3">
      <c r="A545" t="s">
        <v>337</v>
      </c>
      <c r="B545">
        <v>126</v>
      </c>
      <c r="C545">
        <v>-63</v>
      </c>
      <c r="D545">
        <v>378</v>
      </c>
      <c r="E545">
        <f>SUM(Details[[#This Row],[Actual_Cost]],Details[[#This Row],[Profit]])</f>
        <v>315</v>
      </c>
      <c r="F545">
        <v>3</v>
      </c>
      <c r="G545">
        <f>PRODUCT(Details[[#This Row],[Selling_Cost]],Details[[#This Row],[Quantity]])</f>
        <v>945</v>
      </c>
      <c r="H545" t="s">
        <v>13</v>
      </c>
      <c r="I545" t="s">
        <v>55</v>
      </c>
      <c r="J545" t="s">
        <v>18</v>
      </c>
      <c r="K545" t="s">
        <v>548</v>
      </c>
      <c r="L545" t="s">
        <v>585</v>
      </c>
    </row>
    <row r="546" spans="1:12" x14ac:dyDescent="0.3">
      <c r="A546" t="s">
        <v>286</v>
      </c>
      <c r="B546">
        <v>146</v>
      </c>
      <c r="C546">
        <v>-63</v>
      </c>
      <c r="D546">
        <v>438</v>
      </c>
      <c r="E546">
        <f>SUM(Details[[#This Row],[Actual_Cost]],Details[[#This Row],[Profit]])</f>
        <v>375</v>
      </c>
      <c r="F546">
        <v>3</v>
      </c>
      <c r="G546">
        <f>PRODUCT(Details[[#This Row],[Selling_Cost]],Details[[#This Row],[Quantity]])</f>
        <v>1125</v>
      </c>
      <c r="H546" t="s">
        <v>13</v>
      </c>
      <c r="I546" t="s">
        <v>34</v>
      </c>
      <c r="J546" t="s">
        <v>42</v>
      </c>
      <c r="K546" t="s">
        <v>578</v>
      </c>
      <c r="L546" t="s">
        <v>563</v>
      </c>
    </row>
    <row r="547" spans="1:12" x14ac:dyDescent="0.3">
      <c r="A547" t="s">
        <v>28</v>
      </c>
      <c r="B547">
        <v>76</v>
      </c>
      <c r="C547">
        <v>-54</v>
      </c>
      <c r="D547">
        <v>228</v>
      </c>
      <c r="E547">
        <f>SUM(Details[[#This Row],[Actual_Cost]],Details[[#This Row],[Profit]])</f>
        <v>174</v>
      </c>
      <c r="F547">
        <v>3</v>
      </c>
      <c r="G547">
        <f>PRODUCT(Details[[#This Row],[Selling_Cost]],Details[[#This Row],[Quantity]])</f>
        <v>522</v>
      </c>
      <c r="H547" t="s">
        <v>13</v>
      </c>
      <c r="I547" t="s">
        <v>34</v>
      </c>
      <c r="J547" t="s">
        <v>10</v>
      </c>
      <c r="K547" t="s">
        <v>548</v>
      </c>
      <c r="L547" t="s">
        <v>614</v>
      </c>
    </row>
    <row r="548" spans="1:12" x14ac:dyDescent="0.3">
      <c r="A548" t="s">
        <v>175</v>
      </c>
      <c r="B548">
        <v>37</v>
      </c>
      <c r="C548">
        <v>-53</v>
      </c>
      <c r="D548">
        <v>111</v>
      </c>
      <c r="E548">
        <f>SUM(Details[[#This Row],[Actual_Cost]],Details[[#This Row],[Profit]])</f>
        <v>58</v>
      </c>
      <c r="F548">
        <v>3</v>
      </c>
      <c r="G548">
        <f>PRODUCT(Details[[#This Row],[Selling_Cost]],Details[[#This Row],[Quantity]])</f>
        <v>174</v>
      </c>
      <c r="H548" t="s">
        <v>8</v>
      </c>
      <c r="I548" t="s">
        <v>9</v>
      </c>
      <c r="J548" t="s">
        <v>27</v>
      </c>
      <c r="K548" t="s">
        <v>592</v>
      </c>
      <c r="L548" t="s">
        <v>554</v>
      </c>
    </row>
    <row r="549" spans="1:12" x14ac:dyDescent="0.3">
      <c r="A549" t="s">
        <v>338</v>
      </c>
      <c r="B549">
        <v>58</v>
      </c>
      <c r="C549">
        <v>-52</v>
      </c>
      <c r="D549">
        <v>174</v>
      </c>
      <c r="E549">
        <f>SUM(Details[[#This Row],[Actual_Cost]],Details[[#This Row],[Profit]])</f>
        <v>122</v>
      </c>
      <c r="F549">
        <v>3</v>
      </c>
      <c r="G549">
        <f>PRODUCT(Details[[#This Row],[Selling_Cost]],Details[[#This Row],[Quantity]])</f>
        <v>366</v>
      </c>
      <c r="H549" t="s">
        <v>16</v>
      </c>
      <c r="I549" t="s">
        <v>23</v>
      </c>
      <c r="J549" t="s">
        <v>10</v>
      </c>
      <c r="K549" t="s">
        <v>569</v>
      </c>
      <c r="L549" t="s">
        <v>554</v>
      </c>
    </row>
    <row r="550" spans="1:12" x14ac:dyDescent="0.3">
      <c r="A550" t="s">
        <v>186</v>
      </c>
      <c r="B550">
        <v>65</v>
      </c>
      <c r="C550">
        <v>-52</v>
      </c>
      <c r="D550">
        <v>195</v>
      </c>
      <c r="E550">
        <f>SUM(Details[[#This Row],[Actual_Cost]],Details[[#This Row],[Profit]])</f>
        <v>143</v>
      </c>
      <c r="F550">
        <v>3</v>
      </c>
      <c r="G550">
        <f>PRODUCT(Details[[#This Row],[Selling_Cost]],Details[[#This Row],[Quantity]])</f>
        <v>429</v>
      </c>
      <c r="H550" t="s">
        <v>13</v>
      </c>
      <c r="I550" t="s">
        <v>55</v>
      </c>
      <c r="J550" t="s">
        <v>10</v>
      </c>
      <c r="K550" t="s">
        <v>539</v>
      </c>
      <c r="L550" t="s">
        <v>554</v>
      </c>
    </row>
    <row r="551" spans="1:12" x14ac:dyDescent="0.3">
      <c r="A551" t="s">
        <v>56</v>
      </c>
      <c r="B551">
        <v>74</v>
      </c>
      <c r="C551">
        <v>-51</v>
      </c>
      <c r="D551">
        <v>222</v>
      </c>
      <c r="E551">
        <f>SUM(Details[[#This Row],[Actual_Cost]],Details[[#This Row],[Profit]])</f>
        <v>171</v>
      </c>
      <c r="F551">
        <v>3</v>
      </c>
      <c r="G551">
        <f>PRODUCT(Details[[#This Row],[Selling_Cost]],Details[[#This Row],[Quantity]])</f>
        <v>513</v>
      </c>
      <c r="H551" t="s">
        <v>8</v>
      </c>
      <c r="I551" t="s">
        <v>29</v>
      </c>
      <c r="J551" t="s">
        <v>18</v>
      </c>
      <c r="K551" t="s">
        <v>596</v>
      </c>
      <c r="L551" t="s">
        <v>554</v>
      </c>
    </row>
    <row r="552" spans="1:12" x14ac:dyDescent="0.3">
      <c r="A552" t="s">
        <v>156</v>
      </c>
      <c r="B552">
        <v>81</v>
      </c>
      <c r="C552">
        <v>-44</v>
      </c>
      <c r="D552">
        <v>243</v>
      </c>
      <c r="E552">
        <f>SUM(Details[[#This Row],[Actual_Cost]],Details[[#This Row],[Profit]])</f>
        <v>199</v>
      </c>
      <c r="F552">
        <v>3</v>
      </c>
      <c r="G552">
        <f>PRODUCT(Details[[#This Row],[Selling_Cost]],Details[[#This Row],[Quantity]])</f>
        <v>597</v>
      </c>
      <c r="H552" t="s">
        <v>8</v>
      </c>
      <c r="I552" t="s">
        <v>29</v>
      </c>
      <c r="J552" t="s">
        <v>10</v>
      </c>
      <c r="K552" t="s">
        <v>548</v>
      </c>
      <c r="L552" t="s">
        <v>546</v>
      </c>
    </row>
    <row r="553" spans="1:12" x14ac:dyDescent="0.3">
      <c r="A553" t="s">
        <v>50</v>
      </c>
      <c r="B553">
        <v>67</v>
      </c>
      <c r="C553">
        <v>-42</v>
      </c>
      <c r="D553">
        <v>201</v>
      </c>
      <c r="E553">
        <f>SUM(Details[[#This Row],[Actual_Cost]],Details[[#This Row],[Profit]])</f>
        <v>159</v>
      </c>
      <c r="F553">
        <v>3</v>
      </c>
      <c r="G553">
        <f>PRODUCT(Details[[#This Row],[Selling_Cost]],Details[[#This Row],[Quantity]])</f>
        <v>477</v>
      </c>
      <c r="H553" t="s">
        <v>8</v>
      </c>
      <c r="I553" t="s">
        <v>29</v>
      </c>
      <c r="J553" t="s">
        <v>10</v>
      </c>
      <c r="K553" t="s">
        <v>641</v>
      </c>
      <c r="L553" t="s">
        <v>585</v>
      </c>
    </row>
    <row r="554" spans="1:12" x14ac:dyDescent="0.3">
      <c r="A554" t="s">
        <v>339</v>
      </c>
      <c r="B554">
        <v>137</v>
      </c>
      <c r="C554">
        <v>-41</v>
      </c>
      <c r="D554">
        <v>411</v>
      </c>
      <c r="E554">
        <f>SUM(Details[[#This Row],[Actual_Cost]],Details[[#This Row],[Profit]])</f>
        <v>370</v>
      </c>
      <c r="F554">
        <v>3</v>
      </c>
      <c r="G554">
        <f>PRODUCT(Details[[#This Row],[Selling_Cost]],Details[[#This Row],[Quantity]])</f>
        <v>1110</v>
      </c>
      <c r="H554" t="s">
        <v>13</v>
      </c>
      <c r="I554" t="s">
        <v>14</v>
      </c>
      <c r="J554" t="s">
        <v>42</v>
      </c>
      <c r="K554" t="s">
        <v>561</v>
      </c>
      <c r="L554" t="s">
        <v>583</v>
      </c>
    </row>
    <row r="555" spans="1:12" x14ac:dyDescent="0.3">
      <c r="A555" t="s">
        <v>119</v>
      </c>
      <c r="B555">
        <v>314</v>
      </c>
      <c r="C555">
        <v>-41</v>
      </c>
      <c r="D555">
        <v>942</v>
      </c>
      <c r="E555">
        <f>SUM(Details[[#This Row],[Actual_Cost]],Details[[#This Row],[Profit]])</f>
        <v>901</v>
      </c>
      <c r="F555">
        <v>3</v>
      </c>
      <c r="G555">
        <f>PRODUCT(Details[[#This Row],[Selling_Cost]],Details[[#This Row],[Quantity]])</f>
        <v>2703</v>
      </c>
      <c r="H555" t="s">
        <v>13</v>
      </c>
      <c r="I555" t="s">
        <v>34</v>
      </c>
      <c r="J555" t="s">
        <v>27</v>
      </c>
      <c r="K555" t="s">
        <v>548</v>
      </c>
      <c r="L555" t="s">
        <v>550</v>
      </c>
    </row>
    <row r="556" spans="1:12" x14ac:dyDescent="0.3">
      <c r="A556" t="s">
        <v>66</v>
      </c>
      <c r="B556">
        <v>44</v>
      </c>
      <c r="C556">
        <v>-40</v>
      </c>
      <c r="D556">
        <v>132</v>
      </c>
      <c r="E556">
        <f>SUM(Details[[#This Row],[Actual_Cost]],Details[[#This Row],[Profit]])</f>
        <v>92</v>
      </c>
      <c r="F556">
        <v>3</v>
      </c>
      <c r="G556">
        <f>PRODUCT(Details[[#This Row],[Selling_Cost]],Details[[#This Row],[Quantity]])</f>
        <v>276</v>
      </c>
      <c r="H556" t="s">
        <v>8</v>
      </c>
      <c r="I556" t="s">
        <v>29</v>
      </c>
      <c r="J556" t="s">
        <v>10</v>
      </c>
      <c r="K556" t="s">
        <v>661</v>
      </c>
      <c r="L556" t="s">
        <v>541</v>
      </c>
    </row>
    <row r="557" spans="1:12" x14ac:dyDescent="0.3">
      <c r="A557" t="s">
        <v>50</v>
      </c>
      <c r="B557">
        <v>115</v>
      </c>
      <c r="C557">
        <v>-39</v>
      </c>
      <c r="D557">
        <v>345</v>
      </c>
      <c r="E557">
        <f>SUM(Details[[#This Row],[Actual_Cost]],Details[[#This Row],[Profit]])</f>
        <v>306</v>
      </c>
      <c r="F557">
        <v>3</v>
      </c>
      <c r="G557">
        <f>PRODUCT(Details[[#This Row],[Selling_Cost]],Details[[#This Row],[Quantity]])</f>
        <v>918</v>
      </c>
      <c r="H557" t="s">
        <v>8</v>
      </c>
      <c r="I557" t="s">
        <v>41</v>
      </c>
      <c r="J557" t="s">
        <v>10</v>
      </c>
      <c r="K557" t="s">
        <v>641</v>
      </c>
      <c r="L557" t="s">
        <v>585</v>
      </c>
    </row>
    <row r="558" spans="1:12" x14ac:dyDescent="0.3">
      <c r="A558" t="s">
        <v>198</v>
      </c>
      <c r="B558">
        <v>40</v>
      </c>
      <c r="C558">
        <v>-37</v>
      </c>
      <c r="D558">
        <v>120</v>
      </c>
      <c r="E558">
        <f>SUM(Details[[#This Row],[Actual_Cost]],Details[[#This Row],[Profit]])</f>
        <v>83</v>
      </c>
      <c r="F558">
        <v>3</v>
      </c>
      <c r="G558">
        <f>PRODUCT(Details[[#This Row],[Selling_Cost]],Details[[#This Row],[Quantity]])</f>
        <v>249</v>
      </c>
      <c r="H558" t="s">
        <v>8</v>
      </c>
      <c r="I558" t="s">
        <v>29</v>
      </c>
      <c r="J558" t="s">
        <v>10</v>
      </c>
      <c r="K558" t="s">
        <v>548</v>
      </c>
      <c r="L558" t="s">
        <v>554</v>
      </c>
    </row>
    <row r="559" spans="1:12" x14ac:dyDescent="0.3">
      <c r="A559" t="s">
        <v>340</v>
      </c>
      <c r="B559">
        <v>73</v>
      </c>
      <c r="C559">
        <v>-36</v>
      </c>
      <c r="D559">
        <v>219</v>
      </c>
      <c r="E559">
        <f>SUM(Details[[#This Row],[Actual_Cost]],Details[[#This Row],[Profit]])</f>
        <v>183</v>
      </c>
      <c r="F559">
        <v>3</v>
      </c>
      <c r="G559">
        <f>PRODUCT(Details[[#This Row],[Selling_Cost]],Details[[#This Row],[Quantity]])</f>
        <v>549</v>
      </c>
      <c r="H559" t="s">
        <v>16</v>
      </c>
      <c r="I559" t="s">
        <v>23</v>
      </c>
      <c r="J559" t="s">
        <v>18</v>
      </c>
      <c r="K559" t="s">
        <v>548</v>
      </c>
      <c r="L559" t="s">
        <v>546</v>
      </c>
    </row>
    <row r="560" spans="1:12" x14ac:dyDescent="0.3">
      <c r="A560" t="s">
        <v>263</v>
      </c>
      <c r="B560">
        <v>765</v>
      </c>
      <c r="C560">
        <v>-36</v>
      </c>
      <c r="D560">
        <v>2295</v>
      </c>
      <c r="E560">
        <f>SUM(Details[[#This Row],[Actual_Cost]],Details[[#This Row],[Profit]])</f>
        <v>2259</v>
      </c>
      <c r="F560">
        <v>3</v>
      </c>
      <c r="G560">
        <f>PRODUCT(Details[[#This Row],[Selling_Cost]],Details[[#This Row],[Quantity]])</f>
        <v>6777</v>
      </c>
      <c r="H560" t="s">
        <v>13</v>
      </c>
      <c r="I560" t="s">
        <v>34</v>
      </c>
      <c r="J560" t="s">
        <v>10</v>
      </c>
      <c r="K560" t="s">
        <v>552</v>
      </c>
      <c r="L560" t="s">
        <v>546</v>
      </c>
    </row>
    <row r="561" spans="1:12" x14ac:dyDescent="0.3">
      <c r="A561" t="s">
        <v>327</v>
      </c>
      <c r="B561">
        <v>44</v>
      </c>
      <c r="C561">
        <v>-34</v>
      </c>
      <c r="D561">
        <v>132</v>
      </c>
      <c r="E561">
        <f>SUM(Details[[#This Row],[Actual_Cost]],Details[[#This Row],[Profit]])</f>
        <v>98</v>
      </c>
      <c r="F561">
        <v>3</v>
      </c>
      <c r="G561">
        <f>PRODUCT(Details[[#This Row],[Selling_Cost]],Details[[#This Row],[Quantity]])</f>
        <v>294</v>
      </c>
      <c r="H561" t="s">
        <v>8</v>
      </c>
      <c r="I561" t="s">
        <v>29</v>
      </c>
      <c r="J561" t="s">
        <v>27</v>
      </c>
      <c r="K561" t="s">
        <v>539</v>
      </c>
      <c r="L561" t="s">
        <v>583</v>
      </c>
    </row>
    <row r="562" spans="1:12" x14ac:dyDescent="0.3">
      <c r="A562" t="s">
        <v>341</v>
      </c>
      <c r="B562">
        <v>344</v>
      </c>
      <c r="C562">
        <v>-34</v>
      </c>
      <c r="D562">
        <v>1032</v>
      </c>
      <c r="E562">
        <f>SUM(Details[[#This Row],[Actual_Cost]],Details[[#This Row],[Profit]])</f>
        <v>998</v>
      </c>
      <c r="F562">
        <v>3</v>
      </c>
      <c r="G562">
        <f>PRODUCT(Details[[#This Row],[Selling_Cost]],Details[[#This Row],[Quantity]])</f>
        <v>2994</v>
      </c>
      <c r="H562" t="s">
        <v>8</v>
      </c>
      <c r="I562" t="s">
        <v>9</v>
      </c>
      <c r="J562" t="s">
        <v>42</v>
      </c>
      <c r="K562" t="s">
        <v>605</v>
      </c>
      <c r="L562" t="s">
        <v>624</v>
      </c>
    </row>
    <row r="563" spans="1:12" x14ac:dyDescent="0.3">
      <c r="A563" t="s">
        <v>208</v>
      </c>
      <c r="B563">
        <v>44</v>
      </c>
      <c r="C563">
        <v>-32</v>
      </c>
      <c r="D563">
        <v>132</v>
      </c>
      <c r="E563">
        <f>SUM(Details[[#This Row],[Actual_Cost]],Details[[#This Row],[Profit]])</f>
        <v>100</v>
      </c>
      <c r="F563">
        <v>3</v>
      </c>
      <c r="G563">
        <f>PRODUCT(Details[[#This Row],[Selling_Cost]],Details[[#This Row],[Quantity]])</f>
        <v>300</v>
      </c>
      <c r="H563" t="s">
        <v>8</v>
      </c>
      <c r="I563" t="s">
        <v>29</v>
      </c>
      <c r="J563" t="s">
        <v>42</v>
      </c>
      <c r="K563" t="s">
        <v>548</v>
      </c>
      <c r="L563" t="s">
        <v>585</v>
      </c>
    </row>
    <row r="564" spans="1:12" x14ac:dyDescent="0.3">
      <c r="A564" t="s">
        <v>131</v>
      </c>
      <c r="B564">
        <v>668</v>
      </c>
      <c r="C564">
        <v>-31</v>
      </c>
      <c r="D564">
        <v>2004</v>
      </c>
      <c r="E564">
        <f>SUM(Details[[#This Row],[Actual_Cost]],Details[[#This Row],[Profit]])</f>
        <v>1973</v>
      </c>
      <c r="F564">
        <v>3</v>
      </c>
      <c r="G564">
        <f>PRODUCT(Details[[#This Row],[Selling_Cost]],Details[[#This Row],[Quantity]])</f>
        <v>5919</v>
      </c>
      <c r="H564" t="s">
        <v>13</v>
      </c>
      <c r="I564" t="s">
        <v>20</v>
      </c>
      <c r="J564" t="s">
        <v>27</v>
      </c>
      <c r="K564" t="s">
        <v>596</v>
      </c>
      <c r="L564" t="s">
        <v>624</v>
      </c>
    </row>
    <row r="565" spans="1:12" x14ac:dyDescent="0.3">
      <c r="A565" t="s">
        <v>294</v>
      </c>
      <c r="B565">
        <v>59</v>
      </c>
      <c r="C565">
        <v>-30</v>
      </c>
      <c r="D565">
        <v>177</v>
      </c>
      <c r="E565">
        <f>SUM(Details[[#This Row],[Actual_Cost]],Details[[#This Row],[Profit]])</f>
        <v>147</v>
      </c>
      <c r="F565">
        <v>3</v>
      </c>
      <c r="G565">
        <f>PRODUCT(Details[[#This Row],[Selling_Cost]],Details[[#This Row],[Quantity]])</f>
        <v>441</v>
      </c>
      <c r="H565" t="s">
        <v>8</v>
      </c>
      <c r="I565" t="s">
        <v>69</v>
      </c>
      <c r="J565" t="s">
        <v>42</v>
      </c>
      <c r="K565" t="s">
        <v>641</v>
      </c>
      <c r="L565" t="s">
        <v>565</v>
      </c>
    </row>
    <row r="566" spans="1:12" x14ac:dyDescent="0.3">
      <c r="A566" t="s">
        <v>246</v>
      </c>
      <c r="B566">
        <v>264</v>
      </c>
      <c r="C566">
        <v>-30</v>
      </c>
      <c r="D566">
        <v>792</v>
      </c>
      <c r="E566">
        <f>SUM(Details[[#This Row],[Actual_Cost]],Details[[#This Row],[Profit]])</f>
        <v>762</v>
      </c>
      <c r="F566">
        <v>3</v>
      </c>
      <c r="G566">
        <f>PRODUCT(Details[[#This Row],[Selling_Cost]],Details[[#This Row],[Quantity]])</f>
        <v>2286</v>
      </c>
      <c r="H566" t="s">
        <v>16</v>
      </c>
      <c r="I566" t="s">
        <v>32</v>
      </c>
      <c r="J566" t="s">
        <v>42</v>
      </c>
      <c r="K566" t="s">
        <v>552</v>
      </c>
      <c r="L566" t="s">
        <v>585</v>
      </c>
    </row>
    <row r="567" spans="1:12" x14ac:dyDescent="0.3">
      <c r="A567" t="s">
        <v>169</v>
      </c>
      <c r="B567">
        <v>33</v>
      </c>
      <c r="C567">
        <v>-29</v>
      </c>
      <c r="D567">
        <v>99</v>
      </c>
      <c r="E567">
        <f>SUM(Details[[#This Row],[Actual_Cost]],Details[[#This Row],[Profit]])</f>
        <v>70</v>
      </c>
      <c r="F567">
        <v>3</v>
      </c>
      <c r="G567">
        <f>PRODUCT(Details[[#This Row],[Selling_Cost]],Details[[#This Row],[Quantity]])</f>
        <v>210</v>
      </c>
      <c r="H567" t="s">
        <v>8</v>
      </c>
      <c r="I567" t="s">
        <v>61</v>
      </c>
      <c r="J567" t="s">
        <v>18</v>
      </c>
      <c r="K567" t="s">
        <v>552</v>
      </c>
      <c r="L567" t="s">
        <v>585</v>
      </c>
    </row>
    <row r="568" spans="1:12" x14ac:dyDescent="0.3">
      <c r="A568" t="s">
        <v>164</v>
      </c>
      <c r="B568">
        <v>299</v>
      </c>
      <c r="C568">
        <v>-28</v>
      </c>
      <c r="D568">
        <v>897</v>
      </c>
      <c r="E568">
        <f>SUM(Details[[#This Row],[Actual_Cost]],Details[[#This Row],[Profit]])</f>
        <v>869</v>
      </c>
      <c r="F568">
        <v>3</v>
      </c>
      <c r="G568">
        <f>PRODUCT(Details[[#This Row],[Selling_Cost]],Details[[#This Row],[Quantity]])</f>
        <v>2607</v>
      </c>
      <c r="H568" t="s">
        <v>13</v>
      </c>
      <c r="I568" t="s">
        <v>34</v>
      </c>
      <c r="J568" t="s">
        <v>18</v>
      </c>
      <c r="K568" t="s">
        <v>632</v>
      </c>
      <c r="L568" t="s">
        <v>554</v>
      </c>
    </row>
    <row r="569" spans="1:12" x14ac:dyDescent="0.3">
      <c r="A569" t="s">
        <v>63</v>
      </c>
      <c r="B569">
        <v>68</v>
      </c>
      <c r="C569">
        <v>-27</v>
      </c>
      <c r="D569">
        <v>204</v>
      </c>
      <c r="E569">
        <f>SUM(Details[[#This Row],[Actual_Cost]],Details[[#This Row],[Profit]])</f>
        <v>177</v>
      </c>
      <c r="F569">
        <v>3</v>
      </c>
      <c r="G569">
        <f>PRODUCT(Details[[#This Row],[Selling_Cost]],Details[[#This Row],[Quantity]])</f>
        <v>531</v>
      </c>
      <c r="H569" t="s">
        <v>13</v>
      </c>
      <c r="I569" t="s">
        <v>55</v>
      </c>
      <c r="J569" t="s">
        <v>18</v>
      </c>
      <c r="K569" t="s">
        <v>552</v>
      </c>
      <c r="L569" t="s">
        <v>585</v>
      </c>
    </row>
    <row r="570" spans="1:12" x14ac:dyDescent="0.3">
      <c r="A570" t="s">
        <v>219</v>
      </c>
      <c r="B570">
        <v>82</v>
      </c>
      <c r="C570">
        <v>-27</v>
      </c>
      <c r="D570">
        <v>246</v>
      </c>
      <c r="E570">
        <f>SUM(Details[[#This Row],[Actual_Cost]],Details[[#This Row],[Profit]])</f>
        <v>219</v>
      </c>
      <c r="F570">
        <v>3</v>
      </c>
      <c r="G570">
        <f>PRODUCT(Details[[#This Row],[Selling_Cost]],Details[[#This Row],[Quantity]])</f>
        <v>657</v>
      </c>
      <c r="H570" t="s">
        <v>8</v>
      </c>
      <c r="I570" t="s">
        <v>44</v>
      </c>
      <c r="J570" t="s">
        <v>125</v>
      </c>
      <c r="K570" t="s">
        <v>552</v>
      </c>
      <c r="L570" t="s">
        <v>546</v>
      </c>
    </row>
    <row r="571" spans="1:12" x14ac:dyDescent="0.3">
      <c r="A571" t="s">
        <v>59</v>
      </c>
      <c r="B571">
        <v>44</v>
      </c>
      <c r="C571">
        <v>-26</v>
      </c>
      <c r="D571">
        <v>132</v>
      </c>
      <c r="E571">
        <f>SUM(Details[[#This Row],[Actual_Cost]],Details[[#This Row],[Profit]])</f>
        <v>106</v>
      </c>
      <c r="F571">
        <v>3</v>
      </c>
      <c r="G571">
        <f>PRODUCT(Details[[#This Row],[Selling_Cost]],Details[[#This Row],[Quantity]])</f>
        <v>318</v>
      </c>
      <c r="H571" t="s">
        <v>8</v>
      </c>
      <c r="I571" t="s">
        <v>48</v>
      </c>
      <c r="J571" t="s">
        <v>42</v>
      </c>
      <c r="K571" t="s">
        <v>552</v>
      </c>
      <c r="L571" t="s">
        <v>624</v>
      </c>
    </row>
    <row r="572" spans="1:12" x14ac:dyDescent="0.3">
      <c r="A572" t="s">
        <v>303</v>
      </c>
      <c r="B572">
        <v>264</v>
      </c>
      <c r="C572">
        <v>-26</v>
      </c>
      <c r="D572">
        <v>792</v>
      </c>
      <c r="E572">
        <f>SUM(Details[[#This Row],[Actual_Cost]],Details[[#This Row],[Profit]])</f>
        <v>766</v>
      </c>
      <c r="F572">
        <v>3</v>
      </c>
      <c r="G572">
        <f>PRODUCT(Details[[#This Row],[Selling_Cost]],Details[[#This Row],[Quantity]])</f>
        <v>2298</v>
      </c>
      <c r="H572" t="s">
        <v>8</v>
      </c>
      <c r="I572" t="s">
        <v>41</v>
      </c>
      <c r="J572" t="s">
        <v>10</v>
      </c>
      <c r="K572" t="s">
        <v>632</v>
      </c>
      <c r="L572" t="s">
        <v>541</v>
      </c>
    </row>
    <row r="573" spans="1:12" x14ac:dyDescent="0.3">
      <c r="A573" t="s">
        <v>342</v>
      </c>
      <c r="B573">
        <v>73</v>
      </c>
      <c r="C573">
        <v>-25</v>
      </c>
      <c r="D573">
        <v>219</v>
      </c>
      <c r="E573">
        <f>SUM(Details[[#This Row],[Actual_Cost]],Details[[#This Row],[Profit]])</f>
        <v>194</v>
      </c>
      <c r="F573">
        <v>3</v>
      </c>
      <c r="G573">
        <f>PRODUCT(Details[[#This Row],[Selling_Cost]],Details[[#This Row],[Quantity]])</f>
        <v>582</v>
      </c>
      <c r="H573" t="s">
        <v>8</v>
      </c>
      <c r="I573" t="s">
        <v>9</v>
      </c>
      <c r="J573" t="s">
        <v>10</v>
      </c>
      <c r="K573" t="s">
        <v>552</v>
      </c>
      <c r="L573" t="s">
        <v>585</v>
      </c>
    </row>
    <row r="574" spans="1:12" x14ac:dyDescent="0.3">
      <c r="A574" t="s">
        <v>343</v>
      </c>
      <c r="B574">
        <v>74</v>
      </c>
      <c r="C574">
        <v>-25</v>
      </c>
      <c r="D574">
        <v>222</v>
      </c>
      <c r="E574">
        <f>SUM(Details[[#This Row],[Actual_Cost]],Details[[#This Row],[Profit]])</f>
        <v>197</v>
      </c>
      <c r="F574">
        <v>3</v>
      </c>
      <c r="G574">
        <f>PRODUCT(Details[[#This Row],[Selling_Cost]],Details[[#This Row],[Quantity]])</f>
        <v>591</v>
      </c>
      <c r="H574" t="s">
        <v>8</v>
      </c>
      <c r="I574" t="s">
        <v>29</v>
      </c>
      <c r="J574" t="s">
        <v>10</v>
      </c>
      <c r="K574" t="s">
        <v>548</v>
      </c>
      <c r="L574" t="s">
        <v>583</v>
      </c>
    </row>
    <row r="575" spans="1:12" x14ac:dyDescent="0.3">
      <c r="A575" t="s">
        <v>344</v>
      </c>
      <c r="B575">
        <v>75</v>
      </c>
      <c r="C575">
        <v>-25</v>
      </c>
      <c r="D575">
        <v>225</v>
      </c>
      <c r="E575">
        <f>SUM(Details[[#This Row],[Actual_Cost]],Details[[#This Row],[Profit]])</f>
        <v>200</v>
      </c>
      <c r="F575">
        <v>3</v>
      </c>
      <c r="G575">
        <f>PRODUCT(Details[[#This Row],[Selling_Cost]],Details[[#This Row],[Quantity]])</f>
        <v>600</v>
      </c>
      <c r="H575" t="s">
        <v>8</v>
      </c>
      <c r="I575" t="s">
        <v>29</v>
      </c>
      <c r="J575" t="s">
        <v>18</v>
      </c>
      <c r="K575" t="s">
        <v>548</v>
      </c>
      <c r="L575" t="s">
        <v>585</v>
      </c>
    </row>
    <row r="576" spans="1:12" x14ac:dyDescent="0.3">
      <c r="A576" t="s">
        <v>215</v>
      </c>
      <c r="B576">
        <v>268</v>
      </c>
      <c r="C576">
        <v>-25</v>
      </c>
      <c r="D576">
        <v>804</v>
      </c>
      <c r="E576">
        <f>SUM(Details[[#This Row],[Actual_Cost]],Details[[#This Row],[Profit]])</f>
        <v>779</v>
      </c>
      <c r="F576">
        <v>3</v>
      </c>
      <c r="G576">
        <f>PRODUCT(Details[[#This Row],[Selling_Cost]],Details[[#This Row],[Quantity]])</f>
        <v>2337</v>
      </c>
      <c r="H576" t="s">
        <v>8</v>
      </c>
      <c r="I576" t="s">
        <v>9</v>
      </c>
      <c r="J576" t="s">
        <v>10</v>
      </c>
      <c r="K576" t="s">
        <v>632</v>
      </c>
      <c r="L576" t="s">
        <v>583</v>
      </c>
    </row>
    <row r="577" spans="1:12" x14ac:dyDescent="0.3">
      <c r="A577" t="s">
        <v>345</v>
      </c>
      <c r="B577">
        <v>487</v>
      </c>
      <c r="C577">
        <v>-23</v>
      </c>
      <c r="D577">
        <v>1461</v>
      </c>
      <c r="E577">
        <f>SUM(Details[[#This Row],[Actual_Cost]],Details[[#This Row],[Profit]])</f>
        <v>1438</v>
      </c>
      <c r="F577">
        <v>3</v>
      </c>
      <c r="G577">
        <f>PRODUCT(Details[[#This Row],[Selling_Cost]],Details[[#This Row],[Quantity]])</f>
        <v>4314</v>
      </c>
      <c r="H577" t="s">
        <v>13</v>
      </c>
      <c r="I577" t="s">
        <v>20</v>
      </c>
      <c r="J577" t="s">
        <v>42</v>
      </c>
      <c r="K577" t="s">
        <v>607</v>
      </c>
      <c r="L577" t="s">
        <v>546</v>
      </c>
    </row>
    <row r="578" spans="1:12" x14ac:dyDescent="0.3">
      <c r="A578" t="s">
        <v>159</v>
      </c>
      <c r="B578">
        <v>122</v>
      </c>
      <c r="C578">
        <v>-21</v>
      </c>
      <c r="D578">
        <v>366</v>
      </c>
      <c r="E578">
        <f>SUM(Details[[#This Row],[Actual_Cost]],Details[[#This Row],[Profit]])</f>
        <v>345</v>
      </c>
      <c r="F578">
        <v>3</v>
      </c>
      <c r="G578">
        <f>PRODUCT(Details[[#This Row],[Selling_Cost]],Details[[#This Row],[Quantity]])</f>
        <v>1035</v>
      </c>
      <c r="H578" t="s">
        <v>16</v>
      </c>
      <c r="I578" t="s">
        <v>32</v>
      </c>
      <c r="J578" t="s">
        <v>18</v>
      </c>
      <c r="K578" t="s">
        <v>548</v>
      </c>
      <c r="L578" t="s">
        <v>624</v>
      </c>
    </row>
    <row r="579" spans="1:12" x14ac:dyDescent="0.3">
      <c r="A579" t="s">
        <v>346</v>
      </c>
      <c r="B579">
        <v>108</v>
      </c>
      <c r="C579">
        <v>-19</v>
      </c>
      <c r="D579">
        <v>324</v>
      </c>
      <c r="E579">
        <f>SUM(Details[[#This Row],[Actual_Cost]],Details[[#This Row],[Profit]])</f>
        <v>305</v>
      </c>
      <c r="F579">
        <v>3</v>
      </c>
      <c r="G579">
        <f>PRODUCT(Details[[#This Row],[Selling_Cost]],Details[[#This Row],[Quantity]])</f>
        <v>915</v>
      </c>
      <c r="H579" t="s">
        <v>13</v>
      </c>
      <c r="I579" t="s">
        <v>34</v>
      </c>
      <c r="J579" t="s">
        <v>18</v>
      </c>
      <c r="K579" t="s">
        <v>552</v>
      </c>
      <c r="L579" t="s">
        <v>614</v>
      </c>
    </row>
    <row r="580" spans="1:12" x14ac:dyDescent="0.3">
      <c r="A580" t="s">
        <v>39</v>
      </c>
      <c r="B580">
        <v>21</v>
      </c>
      <c r="C580">
        <v>-17</v>
      </c>
      <c r="D580">
        <v>63</v>
      </c>
      <c r="E580">
        <f>SUM(Details[[#This Row],[Actual_Cost]],Details[[#This Row],[Profit]])</f>
        <v>46</v>
      </c>
      <c r="F580">
        <v>3</v>
      </c>
      <c r="G580">
        <f>PRODUCT(Details[[#This Row],[Selling_Cost]],Details[[#This Row],[Quantity]])</f>
        <v>138</v>
      </c>
      <c r="H580" t="s">
        <v>8</v>
      </c>
      <c r="I580" t="s">
        <v>61</v>
      </c>
      <c r="J580" t="s">
        <v>10</v>
      </c>
      <c r="K580" t="s">
        <v>552</v>
      </c>
      <c r="L580" t="s">
        <v>583</v>
      </c>
    </row>
    <row r="581" spans="1:12" x14ac:dyDescent="0.3">
      <c r="A581" t="s">
        <v>159</v>
      </c>
      <c r="B581">
        <v>121</v>
      </c>
      <c r="C581">
        <v>-17</v>
      </c>
      <c r="D581">
        <v>363</v>
      </c>
      <c r="E581">
        <f>SUM(Details[[#This Row],[Actual_Cost]],Details[[#This Row],[Profit]])</f>
        <v>346</v>
      </c>
      <c r="F581">
        <v>3</v>
      </c>
      <c r="G581">
        <f>PRODUCT(Details[[#This Row],[Selling_Cost]],Details[[#This Row],[Quantity]])</f>
        <v>1038</v>
      </c>
      <c r="H581" t="s">
        <v>16</v>
      </c>
      <c r="I581" t="s">
        <v>32</v>
      </c>
      <c r="J581" t="s">
        <v>27</v>
      </c>
      <c r="K581" t="s">
        <v>548</v>
      </c>
      <c r="L581" t="s">
        <v>624</v>
      </c>
    </row>
    <row r="582" spans="1:12" x14ac:dyDescent="0.3">
      <c r="A582" t="s">
        <v>171</v>
      </c>
      <c r="B582">
        <v>19</v>
      </c>
      <c r="C582">
        <v>-15</v>
      </c>
      <c r="D582">
        <v>57</v>
      </c>
      <c r="E582">
        <f>SUM(Details[[#This Row],[Actual_Cost]],Details[[#This Row],[Profit]])</f>
        <v>42</v>
      </c>
      <c r="F582">
        <v>3</v>
      </c>
      <c r="G582">
        <f>PRODUCT(Details[[#This Row],[Selling_Cost]],Details[[#This Row],[Quantity]])</f>
        <v>126</v>
      </c>
      <c r="H582" t="s">
        <v>8</v>
      </c>
      <c r="I582" t="s">
        <v>48</v>
      </c>
      <c r="J582" t="s">
        <v>27</v>
      </c>
      <c r="K582" t="s">
        <v>641</v>
      </c>
      <c r="L582" t="s">
        <v>624</v>
      </c>
    </row>
    <row r="583" spans="1:12" x14ac:dyDescent="0.3">
      <c r="A583" t="s">
        <v>347</v>
      </c>
      <c r="B583">
        <v>187</v>
      </c>
      <c r="C583">
        <v>-15</v>
      </c>
      <c r="D583">
        <v>561</v>
      </c>
      <c r="E583">
        <f>SUM(Details[[#This Row],[Actual_Cost]],Details[[#This Row],[Profit]])</f>
        <v>546</v>
      </c>
      <c r="F583">
        <v>3</v>
      </c>
      <c r="G583">
        <f>PRODUCT(Details[[#This Row],[Selling_Cost]],Details[[#This Row],[Quantity]])</f>
        <v>1638</v>
      </c>
      <c r="H583" t="s">
        <v>8</v>
      </c>
      <c r="I583" t="s">
        <v>41</v>
      </c>
      <c r="J583" t="s">
        <v>10</v>
      </c>
      <c r="K583" t="s">
        <v>552</v>
      </c>
      <c r="L583" t="s">
        <v>554</v>
      </c>
    </row>
    <row r="584" spans="1:12" x14ac:dyDescent="0.3">
      <c r="A584" t="s">
        <v>7</v>
      </c>
      <c r="B584">
        <v>328</v>
      </c>
      <c r="C584">
        <v>-15</v>
      </c>
      <c r="D584">
        <v>984</v>
      </c>
      <c r="E584">
        <f>SUM(Details[[#This Row],[Actual_Cost]],Details[[#This Row],[Profit]])</f>
        <v>969</v>
      </c>
      <c r="F584">
        <v>3</v>
      </c>
      <c r="G584">
        <f>PRODUCT(Details[[#This Row],[Selling_Cost]],Details[[#This Row],[Quantity]])</f>
        <v>2907</v>
      </c>
      <c r="H584" t="s">
        <v>13</v>
      </c>
      <c r="I584" t="s">
        <v>34</v>
      </c>
      <c r="J584" t="s">
        <v>42</v>
      </c>
      <c r="K584" t="s">
        <v>539</v>
      </c>
      <c r="L584" t="s">
        <v>554</v>
      </c>
    </row>
    <row r="585" spans="1:12" x14ac:dyDescent="0.3">
      <c r="A585" t="s">
        <v>348</v>
      </c>
      <c r="B585">
        <v>333</v>
      </c>
      <c r="C585">
        <v>-15</v>
      </c>
      <c r="D585">
        <v>999</v>
      </c>
      <c r="E585">
        <f>SUM(Details[[#This Row],[Actual_Cost]],Details[[#This Row],[Profit]])</f>
        <v>984</v>
      </c>
      <c r="F585">
        <v>3</v>
      </c>
      <c r="G585">
        <f>PRODUCT(Details[[#This Row],[Selling_Cost]],Details[[#This Row],[Quantity]])</f>
        <v>2952</v>
      </c>
      <c r="H585" t="s">
        <v>13</v>
      </c>
      <c r="I585" t="s">
        <v>14</v>
      </c>
      <c r="J585" t="s">
        <v>10</v>
      </c>
      <c r="K585" t="s">
        <v>552</v>
      </c>
      <c r="L585" t="s">
        <v>565</v>
      </c>
    </row>
    <row r="586" spans="1:12" x14ac:dyDescent="0.3">
      <c r="A586" t="s">
        <v>200</v>
      </c>
      <c r="B586">
        <v>21</v>
      </c>
      <c r="C586">
        <v>-13</v>
      </c>
      <c r="D586">
        <v>63</v>
      </c>
      <c r="E586">
        <f>SUM(Details[[#This Row],[Actual_Cost]],Details[[#This Row],[Profit]])</f>
        <v>50</v>
      </c>
      <c r="F586">
        <v>3</v>
      </c>
      <c r="G586">
        <f>PRODUCT(Details[[#This Row],[Selling_Cost]],Details[[#This Row],[Quantity]])</f>
        <v>150</v>
      </c>
      <c r="H586" t="s">
        <v>8</v>
      </c>
      <c r="I586" t="s">
        <v>69</v>
      </c>
      <c r="J586" t="s">
        <v>18</v>
      </c>
      <c r="K586" t="s">
        <v>661</v>
      </c>
      <c r="L586" t="s">
        <v>624</v>
      </c>
    </row>
    <row r="587" spans="1:12" x14ac:dyDescent="0.3">
      <c r="A587" t="s">
        <v>209</v>
      </c>
      <c r="B587">
        <v>38</v>
      </c>
      <c r="C587">
        <v>-13</v>
      </c>
      <c r="D587">
        <v>114</v>
      </c>
      <c r="E587">
        <f>SUM(Details[[#This Row],[Actual_Cost]],Details[[#This Row],[Profit]])</f>
        <v>101</v>
      </c>
      <c r="F587">
        <v>3</v>
      </c>
      <c r="G587">
        <f>PRODUCT(Details[[#This Row],[Selling_Cost]],Details[[#This Row],[Quantity]])</f>
        <v>303</v>
      </c>
      <c r="H587" t="s">
        <v>8</v>
      </c>
      <c r="I587" t="s">
        <v>29</v>
      </c>
      <c r="J587" t="s">
        <v>27</v>
      </c>
      <c r="K587" t="s">
        <v>561</v>
      </c>
      <c r="L587" t="s">
        <v>563</v>
      </c>
    </row>
    <row r="588" spans="1:12" x14ac:dyDescent="0.3">
      <c r="A588" t="s">
        <v>349</v>
      </c>
      <c r="B588">
        <v>134</v>
      </c>
      <c r="C588">
        <v>-13</v>
      </c>
      <c r="D588">
        <v>402</v>
      </c>
      <c r="E588">
        <f>SUM(Details[[#This Row],[Actual_Cost]],Details[[#This Row],[Profit]])</f>
        <v>389</v>
      </c>
      <c r="F588">
        <v>3</v>
      </c>
      <c r="G588">
        <f>PRODUCT(Details[[#This Row],[Selling_Cost]],Details[[#This Row],[Quantity]])</f>
        <v>1167</v>
      </c>
      <c r="H588" t="s">
        <v>13</v>
      </c>
      <c r="I588" t="s">
        <v>34</v>
      </c>
      <c r="J588" t="s">
        <v>18</v>
      </c>
      <c r="K588" t="s">
        <v>610</v>
      </c>
      <c r="L588" t="s">
        <v>544</v>
      </c>
    </row>
    <row r="589" spans="1:12" x14ac:dyDescent="0.3">
      <c r="A589" t="s">
        <v>128</v>
      </c>
      <c r="B589">
        <v>21</v>
      </c>
      <c r="C589">
        <v>-12</v>
      </c>
      <c r="D589">
        <v>63</v>
      </c>
      <c r="E589">
        <f>SUM(Details[[#This Row],[Actual_Cost]],Details[[#This Row],[Profit]])</f>
        <v>51</v>
      </c>
      <c r="F589">
        <v>3</v>
      </c>
      <c r="G589">
        <f>PRODUCT(Details[[#This Row],[Selling_Cost]],Details[[#This Row],[Quantity]])</f>
        <v>153</v>
      </c>
      <c r="H589" t="s">
        <v>8</v>
      </c>
      <c r="I589" t="s">
        <v>48</v>
      </c>
      <c r="J589" t="s">
        <v>42</v>
      </c>
      <c r="K589" t="s">
        <v>592</v>
      </c>
      <c r="L589" t="s">
        <v>544</v>
      </c>
    </row>
    <row r="590" spans="1:12" x14ac:dyDescent="0.3">
      <c r="A590" t="s">
        <v>24</v>
      </c>
      <c r="B590">
        <v>22</v>
      </c>
      <c r="C590">
        <v>-12</v>
      </c>
      <c r="D590">
        <v>66</v>
      </c>
      <c r="E590">
        <f>SUM(Details[[#This Row],[Actual_Cost]],Details[[#This Row],[Profit]])</f>
        <v>54</v>
      </c>
      <c r="F590">
        <v>3</v>
      </c>
      <c r="G590">
        <f>PRODUCT(Details[[#This Row],[Selling_Cost]],Details[[#This Row],[Quantity]])</f>
        <v>162</v>
      </c>
      <c r="H590" t="s">
        <v>8</v>
      </c>
      <c r="I590" t="s">
        <v>29</v>
      </c>
      <c r="J590" t="s">
        <v>10</v>
      </c>
      <c r="K590" t="s">
        <v>552</v>
      </c>
      <c r="L590" t="s">
        <v>554</v>
      </c>
    </row>
    <row r="591" spans="1:12" x14ac:dyDescent="0.3">
      <c r="A591" t="s">
        <v>350</v>
      </c>
      <c r="B591">
        <v>40</v>
      </c>
      <c r="C591">
        <v>-12</v>
      </c>
      <c r="D591">
        <v>120</v>
      </c>
      <c r="E591">
        <f>SUM(Details[[#This Row],[Actual_Cost]],Details[[#This Row],[Profit]])</f>
        <v>108</v>
      </c>
      <c r="F591">
        <v>3</v>
      </c>
      <c r="G591">
        <f>PRODUCT(Details[[#This Row],[Selling_Cost]],Details[[#This Row],[Quantity]])</f>
        <v>324</v>
      </c>
      <c r="H591" t="s">
        <v>8</v>
      </c>
      <c r="I591" t="s">
        <v>61</v>
      </c>
      <c r="J591" t="s">
        <v>10</v>
      </c>
      <c r="K591" t="s">
        <v>641</v>
      </c>
      <c r="L591" t="s">
        <v>583</v>
      </c>
    </row>
    <row r="592" spans="1:12" x14ac:dyDescent="0.3">
      <c r="A592" t="s">
        <v>327</v>
      </c>
      <c r="B592">
        <v>17</v>
      </c>
      <c r="C592">
        <v>-11</v>
      </c>
      <c r="D592">
        <v>51</v>
      </c>
      <c r="E592">
        <f>SUM(Details[[#This Row],[Actual_Cost]],Details[[#This Row],[Profit]])</f>
        <v>40</v>
      </c>
      <c r="F592">
        <v>3</v>
      </c>
      <c r="G592">
        <f>PRODUCT(Details[[#This Row],[Selling_Cost]],Details[[#This Row],[Quantity]])</f>
        <v>120</v>
      </c>
      <c r="H592" t="s">
        <v>8</v>
      </c>
      <c r="I592" t="s">
        <v>58</v>
      </c>
      <c r="J592" t="s">
        <v>18</v>
      </c>
      <c r="K592" t="s">
        <v>539</v>
      </c>
      <c r="L592" t="s">
        <v>583</v>
      </c>
    </row>
    <row r="593" spans="1:12" x14ac:dyDescent="0.3">
      <c r="A593" t="s">
        <v>212</v>
      </c>
      <c r="B593">
        <v>31</v>
      </c>
      <c r="C593">
        <v>-11</v>
      </c>
      <c r="D593">
        <v>93</v>
      </c>
      <c r="E593">
        <f>SUM(Details[[#This Row],[Actual_Cost]],Details[[#This Row],[Profit]])</f>
        <v>82</v>
      </c>
      <c r="F593">
        <v>3</v>
      </c>
      <c r="G593">
        <f>PRODUCT(Details[[#This Row],[Selling_Cost]],Details[[#This Row],[Quantity]])</f>
        <v>246</v>
      </c>
      <c r="H593" t="s">
        <v>8</v>
      </c>
      <c r="I593" t="s">
        <v>58</v>
      </c>
      <c r="J593" t="s">
        <v>18</v>
      </c>
      <c r="K593" t="s">
        <v>548</v>
      </c>
      <c r="L593" t="s">
        <v>550</v>
      </c>
    </row>
    <row r="594" spans="1:12" x14ac:dyDescent="0.3">
      <c r="A594" t="s">
        <v>332</v>
      </c>
      <c r="B594">
        <v>182</v>
      </c>
      <c r="C594">
        <v>-11</v>
      </c>
      <c r="D594">
        <v>546</v>
      </c>
      <c r="E594">
        <f>SUM(Details[[#This Row],[Actual_Cost]],Details[[#This Row],[Profit]])</f>
        <v>535</v>
      </c>
      <c r="F594">
        <v>3</v>
      </c>
      <c r="G594">
        <f>PRODUCT(Details[[#This Row],[Selling_Cost]],Details[[#This Row],[Quantity]])</f>
        <v>1605</v>
      </c>
      <c r="H594" t="s">
        <v>16</v>
      </c>
      <c r="I594" t="s">
        <v>17</v>
      </c>
      <c r="J594" t="s">
        <v>27</v>
      </c>
      <c r="K594" t="s">
        <v>548</v>
      </c>
      <c r="L594" t="s">
        <v>565</v>
      </c>
    </row>
    <row r="595" spans="1:12" x14ac:dyDescent="0.3">
      <c r="A595" t="s">
        <v>351</v>
      </c>
      <c r="B595">
        <v>28</v>
      </c>
      <c r="C595">
        <v>-10</v>
      </c>
      <c r="D595">
        <v>84</v>
      </c>
      <c r="E595">
        <f>SUM(Details[[#This Row],[Actual_Cost]],Details[[#This Row],[Profit]])</f>
        <v>74</v>
      </c>
      <c r="F595">
        <v>3</v>
      </c>
      <c r="G595">
        <f>PRODUCT(Details[[#This Row],[Selling_Cost]],Details[[#This Row],[Quantity]])</f>
        <v>222</v>
      </c>
      <c r="H595" t="s">
        <v>8</v>
      </c>
      <c r="I595" t="s">
        <v>58</v>
      </c>
      <c r="J595" t="s">
        <v>10</v>
      </c>
      <c r="K595" t="s">
        <v>661</v>
      </c>
      <c r="L595" t="s">
        <v>541</v>
      </c>
    </row>
    <row r="596" spans="1:12" x14ac:dyDescent="0.3">
      <c r="A596" t="s">
        <v>352</v>
      </c>
      <c r="B596">
        <v>29</v>
      </c>
      <c r="C596">
        <v>-10</v>
      </c>
      <c r="D596">
        <v>87</v>
      </c>
      <c r="E596">
        <f>SUM(Details[[#This Row],[Actual_Cost]],Details[[#This Row],[Profit]])</f>
        <v>77</v>
      </c>
      <c r="F596">
        <v>3</v>
      </c>
      <c r="G596">
        <f>PRODUCT(Details[[#This Row],[Selling_Cost]],Details[[#This Row],[Quantity]])</f>
        <v>231</v>
      </c>
      <c r="H596" t="s">
        <v>8</v>
      </c>
      <c r="I596" t="s">
        <v>58</v>
      </c>
      <c r="J596" t="s">
        <v>10</v>
      </c>
      <c r="K596" t="s">
        <v>552</v>
      </c>
      <c r="L596" t="s">
        <v>544</v>
      </c>
    </row>
    <row r="597" spans="1:12" x14ac:dyDescent="0.3">
      <c r="A597" t="s">
        <v>353</v>
      </c>
      <c r="B597">
        <v>31</v>
      </c>
      <c r="C597">
        <v>-10</v>
      </c>
      <c r="D597">
        <v>93</v>
      </c>
      <c r="E597">
        <f>SUM(Details[[#This Row],[Actual_Cost]],Details[[#This Row],[Profit]])</f>
        <v>83</v>
      </c>
      <c r="F597">
        <v>3</v>
      </c>
      <c r="G597">
        <f>PRODUCT(Details[[#This Row],[Selling_Cost]],Details[[#This Row],[Quantity]])</f>
        <v>249</v>
      </c>
      <c r="H597" t="s">
        <v>8</v>
      </c>
      <c r="I597" t="s">
        <v>58</v>
      </c>
      <c r="J597" t="s">
        <v>10</v>
      </c>
      <c r="K597" t="s">
        <v>552</v>
      </c>
      <c r="L597" t="s">
        <v>585</v>
      </c>
    </row>
    <row r="598" spans="1:12" x14ac:dyDescent="0.3">
      <c r="A598" t="s">
        <v>354</v>
      </c>
      <c r="B598">
        <v>34</v>
      </c>
      <c r="C598">
        <v>-10</v>
      </c>
      <c r="D598">
        <v>102</v>
      </c>
      <c r="E598">
        <f>SUM(Details[[#This Row],[Actual_Cost]],Details[[#This Row],[Profit]])</f>
        <v>92</v>
      </c>
      <c r="F598">
        <v>3</v>
      </c>
      <c r="G598">
        <f>PRODUCT(Details[[#This Row],[Selling_Cost]],Details[[#This Row],[Quantity]])</f>
        <v>276</v>
      </c>
      <c r="H598" t="s">
        <v>8</v>
      </c>
      <c r="I598" t="s">
        <v>58</v>
      </c>
      <c r="J598" t="s">
        <v>10</v>
      </c>
      <c r="K598" t="s">
        <v>569</v>
      </c>
      <c r="L598" t="s">
        <v>546</v>
      </c>
    </row>
    <row r="599" spans="1:12" x14ac:dyDescent="0.3">
      <c r="A599" t="s">
        <v>276</v>
      </c>
      <c r="B599">
        <v>132</v>
      </c>
      <c r="C599">
        <v>-10</v>
      </c>
      <c r="D599">
        <v>396</v>
      </c>
      <c r="E599">
        <f>SUM(Details[[#This Row],[Actual_Cost]],Details[[#This Row],[Profit]])</f>
        <v>386</v>
      </c>
      <c r="F599">
        <v>3</v>
      </c>
      <c r="G599">
        <f>PRODUCT(Details[[#This Row],[Selling_Cost]],Details[[#This Row],[Quantity]])</f>
        <v>1158</v>
      </c>
      <c r="H599" t="s">
        <v>8</v>
      </c>
      <c r="I599" t="s">
        <v>9</v>
      </c>
      <c r="J599" t="s">
        <v>10</v>
      </c>
      <c r="K599" t="s">
        <v>587</v>
      </c>
      <c r="L599" t="s">
        <v>541</v>
      </c>
    </row>
    <row r="600" spans="1:12" x14ac:dyDescent="0.3">
      <c r="A600" t="s">
        <v>131</v>
      </c>
      <c r="B600">
        <v>168</v>
      </c>
      <c r="C600">
        <v>-10</v>
      </c>
      <c r="D600">
        <v>504</v>
      </c>
      <c r="E600">
        <f>SUM(Details[[#This Row],[Actual_Cost]],Details[[#This Row],[Profit]])</f>
        <v>494</v>
      </c>
      <c r="F600">
        <v>3</v>
      </c>
      <c r="G600">
        <f>PRODUCT(Details[[#This Row],[Selling_Cost]],Details[[#This Row],[Quantity]])</f>
        <v>1482</v>
      </c>
      <c r="H600" t="s">
        <v>13</v>
      </c>
      <c r="I600" t="s">
        <v>55</v>
      </c>
      <c r="J600" t="s">
        <v>18</v>
      </c>
      <c r="K600" t="s">
        <v>596</v>
      </c>
      <c r="L600" t="s">
        <v>624</v>
      </c>
    </row>
    <row r="601" spans="1:12" x14ac:dyDescent="0.3">
      <c r="A601" t="s">
        <v>344</v>
      </c>
      <c r="B601">
        <v>17</v>
      </c>
      <c r="C601">
        <v>-9</v>
      </c>
      <c r="D601">
        <v>51</v>
      </c>
      <c r="E601">
        <f>SUM(Details[[#This Row],[Actual_Cost]],Details[[#This Row],[Profit]])</f>
        <v>42</v>
      </c>
      <c r="F601">
        <v>3</v>
      </c>
      <c r="G601">
        <f>PRODUCT(Details[[#This Row],[Selling_Cost]],Details[[#This Row],[Quantity]])</f>
        <v>126</v>
      </c>
      <c r="H601" t="s">
        <v>8</v>
      </c>
      <c r="I601" t="s">
        <v>29</v>
      </c>
      <c r="J601" t="s">
        <v>10</v>
      </c>
      <c r="K601" t="s">
        <v>548</v>
      </c>
      <c r="L601" t="s">
        <v>585</v>
      </c>
    </row>
    <row r="602" spans="1:12" x14ac:dyDescent="0.3">
      <c r="A602" t="s">
        <v>57</v>
      </c>
      <c r="B602">
        <v>168</v>
      </c>
      <c r="C602">
        <v>-9</v>
      </c>
      <c r="D602">
        <v>504</v>
      </c>
      <c r="E602">
        <f>SUM(Details[[#This Row],[Actual_Cost]],Details[[#This Row],[Profit]])</f>
        <v>495</v>
      </c>
      <c r="F602">
        <v>3</v>
      </c>
      <c r="G602">
        <f>PRODUCT(Details[[#This Row],[Selling_Cost]],Details[[#This Row],[Quantity]])</f>
        <v>1485</v>
      </c>
      <c r="H602" t="s">
        <v>8</v>
      </c>
      <c r="I602" t="s">
        <v>9</v>
      </c>
      <c r="J602" t="s">
        <v>10</v>
      </c>
      <c r="K602" t="s">
        <v>610</v>
      </c>
      <c r="L602" t="s">
        <v>585</v>
      </c>
    </row>
    <row r="603" spans="1:12" x14ac:dyDescent="0.3">
      <c r="A603" t="s">
        <v>355</v>
      </c>
      <c r="B603">
        <v>44</v>
      </c>
      <c r="C603">
        <v>-8</v>
      </c>
      <c r="D603">
        <v>132</v>
      </c>
      <c r="E603">
        <f>SUM(Details[[#This Row],[Actual_Cost]],Details[[#This Row],[Profit]])</f>
        <v>124</v>
      </c>
      <c r="F603">
        <v>3</v>
      </c>
      <c r="G603">
        <f>PRODUCT(Details[[#This Row],[Selling_Cost]],Details[[#This Row],[Quantity]])</f>
        <v>372</v>
      </c>
      <c r="H603" t="s">
        <v>8</v>
      </c>
      <c r="I603" t="s">
        <v>29</v>
      </c>
      <c r="J603" t="s">
        <v>27</v>
      </c>
      <c r="K603" t="s">
        <v>569</v>
      </c>
      <c r="L603" t="s">
        <v>554</v>
      </c>
    </row>
    <row r="604" spans="1:12" x14ac:dyDescent="0.3">
      <c r="A604" t="s">
        <v>74</v>
      </c>
      <c r="B604">
        <v>44</v>
      </c>
      <c r="C604">
        <v>-8</v>
      </c>
      <c r="D604">
        <v>132</v>
      </c>
      <c r="E604">
        <f>SUM(Details[[#This Row],[Actual_Cost]],Details[[#This Row],[Profit]])</f>
        <v>124</v>
      </c>
      <c r="F604">
        <v>3</v>
      </c>
      <c r="G604">
        <f>PRODUCT(Details[[#This Row],[Selling_Cost]],Details[[#This Row],[Quantity]])</f>
        <v>372</v>
      </c>
      <c r="H604" t="s">
        <v>8</v>
      </c>
      <c r="I604" t="s">
        <v>29</v>
      </c>
      <c r="J604" t="s">
        <v>18</v>
      </c>
      <c r="K604" t="s">
        <v>552</v>
      </c>
      <c r="L604" t="s">
        <v>624</v>
      </c>
    </row>
    <row r="605" spans="1:12" x14ac:dyDescent="0.3">
      <c r="A605" t="s">
        <v>226</v>
      </c>
      <c r="B605">
        <v>315</v>
      </c>
      <c r="C605">
        <v>-8</v>
      </c>
      <c r="D605">
        <v>945</v>
      </c>
      <c r="E605">
        <f>SUM(Details[[#This Row],[Actual_Cost]],Details[[#This Row],[Profit]])</f>
        <v>937</v>
      </c>
      <c r="F605">
        <v>3</v>
      </c>
      <c r="G605">
        <f>PRODUCT(Details[[#This Row],[Selling_Cost]],Details[[#This Row],[Quantity]])</f>
        <v>2811</v>
      </c>
      <c r="H605" t="s">
        <v>16</v>
      </c>
      <c r="I605" t="s">
        <v>23</v>
      </c>
      <c r="J605" t="s">
        <v>27</v>
      </c>
      <c r="K605" t="s">
        <v>552</v>
      </c>
      <c r="L605" t="s">
        <v>544</v>
      </c>
    </row>
    <row r="606" spans="1:12" x14ac:dyDescent="0.3">
      <c r="A606" t="s">
        <v>151</v>
      </c>
      <c r="B606">
        <v>40</v>
      </c>
      <c r="C606">
        <v>-7</v>
      </c>
      <c r="D606">
        <v>120</v>
      </c>
      <c r="E606">
        <f>SUM(Details[[#This Row],[Actual_Cost]],Details[[#This Row],[Profit]])</f>
        <v>113</v>
      </c>
      <c r="F606">
        <v>3</v>
      </c>
      <c r="G606">
        <f>PRODUCT(Details[[#This Row],[Selling_Cost]],Details[[#This Row],[Quantity]])</f>
        <v>339</v>
      </c>
      <c r="H606" t="s">
        <v>8</v>
      </c>
      <c r="I606" t="s">
        <v>29</v>
      </c>
      <c r="J606" t="s">
        <v>10</v>
      </c>
      <c r="K606" t="s">
        <v>587</v>
      </c>
      <c r="L606" t="s">
        <v>565</v>
      </c>
    </row>
    <row r="607" spans="1:12" x14ac:dyDescent="0.3">
      <c r="A607" t="s">
        <v>21</v>
      </c>
      <c r="B607">
        <v>64</v>
      </c>
      <c r="C607">
        <v>-7</v>
      </c>
      <c r="D607">
        <v>192</v>
      </c>
      <c r="E607">
        <f>SUM(Details[[#This Row],[Actual_Cost]],Details[[#This Row],[Profit]])</f>
        <v>185</v>
      </c>
      <c r="F607">
        <v>3</v>
      </c>
      <c r="G607">
        <f>PRODUCT(Details[[#This Row],[Selling_Cost]],Details[[#This Row],[Quantity]])</f>
        <v>555</v>
      </c>
      <c r="H607" t="s">
        <v>8</v>
      </c>
      <c r="I607" t="s">
        <v>9</v>
      </c>
      <c r="J607" t="s">
        <v>10</v>
      </c>
      <c r="K607" t="s">
        <v>610</v>
      </c>
      <c r="L607" t="s">
        <v>585</v>
      </c>
    </row>
    <row r="608" spans="1:12" x14ac:dyDescent="0.3">
      <c r="A608" t="s">
        <v>356</v>
      </c>
      <c r="B608">
        <v>21</v>
      </c>
      <c r="C608">
        <v>-6</v>
      </c>
      <c r="D608">
        <v>63</v>
      </c>
      <c r="E608">
        <f>SUM(Details[[#This Row],[Actual_Cost]],Details[[#This Row],[Profit]])</f>
        <v>57</v>
      </c>
      <c r="F608">
        <v>3</v>
      </c>
      <c r="G608">
        <f>PRODUCT(Details[[#This Row],[Selling_Cost]],Details[[#This Row],[Quantity]])</f>
        <v>171</v>
      </c>
      <c r="H608" t="s">
        <v>8</v>
      </c>
      <c r="I608" t="s">
        <v>69</v>
      </c>
      <c r="J608" t="s">
        <v>10</v>
      </c>
      <c r="K608" t="s">
        <v>548</v>
      </c>
      <c r="L608" t="s">
        <v>563</v>
      </c>
    </row>
    <row r="609" spans="1:12" x14ac:dyDescent="0.3">
      <c r="A609" t="s">
        <v>157</v>
      </c>
      <c r="B609">
        <v>72</v>
      </c>
      <c r="C609">
        <v>-6</v>
      </c>
      <c r="D609">
        <v>216</v>
      </c>
      <c r="E609">
        <f>SUM(Details[[#This Row],[Actual_Cost]],Details[[#This Row],[Profit]])</f>
        <v>210</v>
      </c>
      <c r="F609">
        <v>3</v>
      </c>
      <c r="G609">
        <f>PRODUCT(Details[[#This Row],[Selling_Cost]],Details[[#This Row],[Quantity]])</f>
        <v>630</v>
      </c>
      <c r="H609" t="s">
        <v>8</v>
      </c>
      <c r="I609" t="s">
        <v>9</v>
      </c>
      <c r="J609" t="s">
        <v>18</v>
      </c>
      <c r="K609" t="s">
        <v>587</v>
      </c>
      <c r="L609" t="s">
        <v>554</v>
      </c>
    </row>
    <row r="610" spans="1:12" x14ac:dyDescent="0.3">
      <c r="A610" t="s">
        <v>57</v>
      </c>
      <c r="B610">
        <v>117</v>
      </c>
      <c r="C610">
        <v>-6</v>
      </c>
      <c r="D610">
        <v>351</v>
      </c>
      <c r="E610">
        <f>SUM(Details[[#This Row],[Actual_Cost]],Details[[#This Row],[Profit]])</f>
        <v>345</v>
      </c>
      <c r="F610">
        <v>3</v>
      </c>
      <c r="G610">
        <f>PRODUCT(Details[[#This Row],[Selling_Cost]],Details[[#This Row],[Quantity]])</f>
        <v>1035</v>
      </c>
      <c r="H610" t="s">
        <v>13</v>
      </c>
      <c r="I610" t="s">
        <v>14</v>
      </c>
      <c r="J610" t="s">
        <v>10</v>
      </c>
      <c r="K610" t="s">
        <v>610</v>
      </c>
      <c r="L610" t="s">
        <v>585</v>
      </c>
    </row>
    <row r="611" spans="1:12" x14ac:dyDescent="0.3">
      <c r="A611" t="s">
        <v>72</v>
      </c>
      <c r="B611">
        <v>37</v>
      </c>
      <c r="C611">
        <v>-5</v>
      </c>
      <c r="D611">
        <v>111</v>
      </c>
      <c r="E611">
        <f>SUM(Details[[#This Row],[Actual_Cost]],Details[[#This Row],[Profit]])</f>
        <v>106</v>
      </c>
      <c r="F611">
        <v>3</v>
      </c>
      <c r="G611">
        <f>PRODUCT(Details[[#This Row],[Selling_Cost]],Details[[#This Row],[Quantity]])</f>
        <v>318</v>
      </c>
      <c r="H611" t="s">
        <v>8</v>
      </c>
      <c r="I611" t="s">
        <v>46</v>
      </c>
      <c r="J611" t="s">
        <v>42</v>
      </c>
      <c r="K611" t="s">
        <v>569</v>
      </c>
      <c r="L611" t="s">
        <v>624</v>
      </c>
    </row>
    <row r="612" spans="1:12" x14ac:dyDescent="0.3">
      <c r="A612" t="s">
        <v>59</v>
      </c>
      <c r="B612">
        <v>7</v>
      </c>
      <c r="C612">
        <v>-4</v>
      </c>
      <c r="D612">
        <v>21</v>
      </c>
      <c r="E612">
        <f>SUM(Details[[#This Row],[Actual_Cost]],Details[[#This Row],[Profit]])</f>
        <v>17</v>
      </c>
      <c r="F612">
        <v>3</v>
      </c>
      <c r="G612">
        <f>PRODUCT(Details[[#This Row],[Selling_Cost]],Details[[#This Row],[Quantity]])</f>
        <v>51</v>
      </c>
      <c r="H612" t="s">
        <v>8</v>
      </c>
      <c r="I612" t="s">
        <v>48</v>
      </c>
      <c r="J612" t="s">
        <v>10</v>
      </c>
      <c r="K612" t="s">
        <v>552</v>
      </c>
      <c r="L612" t="s">
        <v>624</v>
      </c>
    </row>
    <row r="613" spans="1:12" x14ac:dyDescent="0.3">
      <c r="A613" t="s">
        <v>164</v>
      </c>
      <c r="B613">
        <v>29</v>
      </c>
      <c r="C613">
        <v>-3</v>
      </c>
      <c r="D613">
        <v>87</v>
      </c>
      <c r="E613">
        <f>SUM(Details[[#This Row],[Actual_Cost]],Details[[#This Row],[Profit]])</f>
        <v>84</v>
      </c>
      <c r="F613">
        <v>3</v>
      </c>
      <c r="G613">
        <f>PRODUCT(Details[[#This Row],[Selling_Cost]],Details[[#This Row],[Quantity]])</f>
        <v>252</v>
      </c>
      <c r="H613" t="s">
        <v>8</v>
      </c>
      <c r="I613" t="s">
        <v>9</v>
      </c>
      <c r="J613" t="s">
        <v>10</v>
      </c>
      <c r="K613" t="s">
        <v>632</v>
      </c>
      <c r="L613" t="s">
        <v>554</v>
      </c>
    </row>
    <row r="614" spans="1:12" x14ac:dyDescent="0.3">
      <c r="A614" t="s">
        <v>159</v>
      </c>
      <c r="B614">
        <v>54</v>
      </c>
      <c r="C614">
        <v>-3</v>
      </c>
      <c r="D614">
        <v>162</v>
      </c>
      <c r="E614">
        <f>SUM(Details[[#This Row],[Actual_Cost]],Details[[#This Row],[Profit]])</f>
        <v>159</v>
      </c>
      <c r="F614">
        <v>3</v>
      </c>
      <c r="G614">
        <f>PRODUCT(Details[[#This Row],[Selling_Cost]],Details[[#This Row],[Quantity]])</f>
        <v>477</v>
      </c>
      <c r="H614" t="s">
        <v>8</v>
      </c>
      <c r="I614" t="s">
        <v>9</v>
      </c>
      <c r="J614" t="s">
        <v>10</v>
      </c>
      <c r="K614" t="s">
        <v>548</v>
      </c>
      <c r="L614" t="s">
        <v>624</v>
      </c>
    </row>
    <row r="615" spans="1:12" x14ac:dyDescent="0.3">
      <c r="A615" t="s">
        <v>86</v>
      </c>
      <c r="B615">
        <v>128</v>
      </c>
      <c r="C615">
        <v>-3</v>
      </c>
      <c r="D615">
        <v>384</v>
      </c>
      <c r="E615">
        <f>SUM(Details[[#This Row],[Actual_Cost]],Details[[#This Row],[Profit]])</f>
        <v>381</v>
      </c>
      <c r="F615">
        <v>3</v>
      </c>
      <c r="G615">
        <f>PRODUCT(Details[[#This Row],[Selling_Cost]],Details[[#This Row],[Quantity]])</f>
        <v>1143</v>
      </c>
      <c r="H615" t="s">
        <v>8</v>
      </c>
      <c r="I615" t="s">
        <v>9</v>
      </c>
      <c r="J615" t="s">
        <v>42</v>
      </c>
      <c r="K615" t="s">
        <v>587</v>
      </c>
      <c r="L615" t="s">
        <v>563</v>
      </c>
    </row>
    <row r="616" spans="1:12" x14ac:dyDescent="0.3">
      <c r="A616" t="s">
        <v>357</v>
      </c>
      <c r="B616">
        <v>8</v>
      </c>
      <c r="C616">
        <v>-2</v>
      </c>
      <c r="D616">
        <v>24</v>
      </c>
      <c r="E616">
        <f>SUM(Details[[#This Row],[Actual_Cost]],Details[[#This Row],[Profit]])</f>
        <v>22</v>
      </c>
      <c r="F616">
        <v>3</v>
      </c>
      <c r="G616">
        <f>PRODUCT(Details[[#This Row],[Selling_Cost]],Details[[#This Row],[Quantity]])</f>
        <v>66</v>
      </c>
      <c r="H616" t="s">
        <v>8</v>
      </c>
      <c r="I616" t="s">
        <v>48</v>
      </c>
      <c r="J616" t="s">
        <v>27</v>
      </c>
      <c r="K616" t="s">
        <v>569</v>
      </c>
      <c r="L616" t="s">
        <v>565</v>
      </c>
    </row>
    <row r="617" spans="1:12" x14ac:dyDescent="0.3">
      <c r="A617" t="s">
        <v>47</v>
      </c>
      <c r="B617">
        <v>12</v>
      </c>
      <c r="C617">
        <v>-2</v>
      </c>
      <c r="D617">
        <v>36</v>
      </c>
      <c r="E617">
        <f>SUM(Details[[#This Row],[Actual_Cost]],Details[[#This Row],[Profit]])</f>
        <v>34</v>
      </c>
      <c r="F617">
        <v>3</v>
      </c>
      <c r="G617">
        <f>PRODUCT(Details[[#This Row],[Selling_Cost]],Details[[#This Row],[Quantity]])</f>
        <v>102</v>
      </c>
      <c r="H617" t="s">
        <v>8</v>
      </c>
      <c r="I617" t="s">
        <v>48</v>
      </c>
      <c r="J617" t="s">
        <v>10</v>
      </c>
      <c r="K617" t="s">
        <v>539</v>
      </c>
      <c r="L617" t="s">
        <v>614</v>
      </c>
    </row>
    <row r="618" spans="1:12" x14ac:dyDescent="0.3">
      <c r="A618" t="s">
        <v>358</v>
      </c>
      <c r="B618">
        <v>14</v>
      </c>
      <c r="C618">
        <v>-2</v>
      </c>
      <c r="D618">
        <v>42</v>
      </c>
      <c r="E618">
        <f>SUM(Details[[#This Row],[Actual_Cost]],Details[[#This Row],[Profit]])</f>
        <v>40</v>
      </c>
      <c r="F618">
        <v>3</v>
      </c>
      <c r="G618">
        <f>PRODUCT(Details[[#This Row],[Selling_Cost]],Details[[#This Row],[Quantity]])</f>
        <v>120</v>
      </c>
      <c r="H618" t="s">
        <v>8</v>
      </c>
      <c r="I618" t="s">
        <v>48</v>
      </c>
      <c r="J618" t="s">
        <v>18</v>
      </c>
      <c r="K618" t="s">
        <v>661</v>
      </c>
      <c r="L618" t="s">
        <v>565</v>
      </c>
    </row>
    <row r="619" spans="1:12" x14ac:dyDescent="0.3">
      <c r="A619" t="s">
        <v>358</v>
      </c>
      <c r="B619">
        <v>22</v>
      </c>
      <c r="C619">
        <v>-2</v>
      </c>
      <c r="D619">
        <v>66</v>
      </c>
      <c r="E619">
        <f>SUM(Details[[#This Row],[Actual_Cost]],Details[[#This Row],[Profit]])</f>
        <v>64</v>
      </c>
      <c r="F619">
        <v>3</v>
      </c>
      <c r="G619">
        <f>PRODUCT(Details[[#This Row],[Selling_Cost]],Details[[#This Row],[Quantity]])</f>
        <v>192</v>
      </c>
      <c r="H619" t="s">
        <v>8</v>
      </c>
      <c r="I619" t="s">
        <v>48</v>
      </c>
      <c r="J619" t="s">
        <v>10</v>
      </c>
      <c r="K619" t="s">
        <v>661</v>
      </c>
      <c r="L619" t="s">
        <v>565</v>
      </c>
    </row>
    <row r="620" spans="1:12" x14ac:dyDescent="0.3">
      <c r="A620" t="s">
        <v>318</v>
      </c>
      <c r="B620">
        <v>53</v>
      </c>
      <c r="C620">
        <v>-2</v>
      </c>
      <c r="D620">
        <v>159</v>
      </c>
      <c r="E620">
        <f>SUM(Details[[#This Row],[Actual_Cost]],Details[[#This Row],[Profit]])</f>
        <v>157</v>
      </c>
      <c r="F620">
        <v>3</v>
      </c>
      <c r="G620">
        <f>PRODUCT(Details[[#This Row],[Selling_Cost]],Details[[#This Row],[Quantity]])</f>
        <v>471</v>
      </c>
      <c r="H620" t="s">
        <v>8</v>
      </c>
      <c r="I620" t="s">
        <v>9</v>
      </c>
      <c r="J620" t="s">
        <v>42</v>
      </c>
      <c r="K620" t="s">
        <v>548</v>
      </c>
      <c r="L620" t="s">
        <v>567</v>
      </c>
    </row>
    <row r="621" spans="1:12" x14ac:dyDescent="0.3">
      <c r="A621" t="s">
        <v>180</v>
      </c>
      <c r="B621">
        <v>9</v>
      </c>
      <c r="C621">
        <v>-1</v>
      </c>
      <c r="D621">
        <v>27</v>
      </c>
      <c r="E621">
        <f>SUM(Details[[#This Row],[Actual_Cost]],Details[[#This Row],[Profit]])</f>
        <v>26</v>
      </c>
      <c r="F621">
        <v>3</v>
      </c>
      <c r="G621">
        <f>PRODUCT(Details[[#This Row],[Selling_Cost]],Details[[#This Row],[Quantity]])</f>
        <v>78</v>
      </c>
      <c r="H621" t="s">
        <v>8</v>
      </c>
      <c r="I621" t="s">
        <v>58</v>
      </c>
      <c r="J621" t="s">
        <v>18</v>
      </c>
      <c r="K621" t="s">
        <v>578</v>
      </c>
      <c r="L621" t="s">
        <v>554</v>
      </c>
    </row>
    <row r="622" spans="1:12" x14ac:dyDescent="0.3">
      <c r="A622" t="s">
        <v>89</v>
      </c>
      <c r="B622">
        <v>13</v>
      </c>
      <c r="C622">
        <v>-1</v>
      </c>
      <c r="D622">
        <v>39</v>
      </c>
      <c r="E622">
        <f>SUM(Details[[#This Row],[Actual_Cost]],Details[[#This Row],[Profit]])</f>
        <v>38</v>
      </c>
      <c r="F622">
        <v>3</v>
      </c>
      <c r="G622">
        <f>PRODUCT(Details[[#This Row],[Selling_Cost]],Details[[#This Row],[Quantity]])</f>
        <v>114</v>
      </c>
      <c r="H622" t="s">
        <v>8</v>
      </c>
      <c r="I622" t="s">
        <v>48</v>
      </c>
      <c r="J622" t="s">
        <v>10</v>
      </c>
      <c r="K622" t="s">
        <v>548</v>
      </c>
      <c r="L622" t="s">
        <v>624</v>
      </c>
    </row>
    <row r="623" spans="1:12" x14ac:dyDescent="0.3">
      <c r="A623" t="s">
        <v>359</v>
      </c>
      <c r="B623">
        <v>85</v>
      </c>
      <c r="C623">
        <v>-1</v>
      </c>
      <c r="D623">
        <v>255</v>
      </c>
      <c r="E623">
        <f>SUM(Details[[#This Row],[Actual_Cost]],Details[[#This Row],[Profit]])</f>
        <v>254</v>
      </c>
      <c r="F623">
        <v>3</v>
      </c>
      <c r="G623">
        <f>PRODUCT(Details[[#This Row],[Selling_Cost]],Details[[#This Row],[Quantity]])</f>
        <v>762</v>
      </c>
      <c r="H623" t="s">
        <v>8</v>
      </c>
      <c r="I623" t="s">
        <v>9</v>
      </c>
      <c r="J623" t="s">
        <v>27</v>
      </c>
      <c r="K623" t="s">
        <v>552</v>
      </c>
      <c r="L623" t="s">
        <v>567</v>
      </c>
    </row>
    <row r="624" spans="1:12" x14ac:dyDescent="0.3">
      <c r="A624" t="s">
        <v>180</v>
      </c>
      <c r="B624">
        <v>19</v>
      </c>
      <c r="C624">
        <v>0</v>
      </c>
      <c r="D624">
        <v>57</v>
      </c>
      <c r="E624">
        <f>SUM(Details[[#This Row],[Actual_Cost]],Details[[#This Row],[Profit]])</f>
        <v>57</v>
      </c>
      <c r="F624">
        <v>3</v>
      </c>
      <c r="G624">
        <f>PRODUCT(Details[[#This Row],[Selling_Cost]],Details[[#This Row],[Quantity]])</f>
        <v>171</v>
      </c>
      <c r="H624" t="s">
        <v>8</v>
      </c>
      <c r="I624" t="s">
        <v>58</v>
      </c>
      <c r="J624" t="s">
        <v>18</v>
      </c>
      <c r="K624" t="s">
        <v>578</v>
      </c>
      <c r="L624" t="s">
        <v>554</v>
      </c>
    </row>
    <row r="625" spans="1:12" x14ac:dyDescent="0.3">
      <c r="A625" t="s">
        <v>285</v>
      </c>
      <c r="B625">
        <v>29</v>
      </c>
      <c r="C625">
        <v>0</v>
      </c>
      <c r="D625">
        <v>87</v>
      </c>
      <c r="E625">
        <f>SUM(Details[[#This Row],[Actual_Cost]],Details[[#This Row],[Profit]])</f>
        <v>87</v>
      </c>
      <c r="F625">
        <v>3</v>
      </c>
      <c r="G625">
        <f>PRODUCT(Details[[#This Row],[Selling_Cost]],Details[[#This Row],[Quantity]])</f>
        <v>261</v>
      </c>
      <c r="H625" t="s">
        <v>16</v>
      </c>
      <c r="I625" t="s">
        <v>32</v>
      </c>
      <c r="J625" t="s">
        <v>10</v>
      </c>
      <c r="K625" t="s">
        <v>605</v>
      </c>
      <c r="L625" t="s">
        <v>544</v>
      </c>
    </row>
    <row r="626" spans="1:12" x14ac:dyDescent="0.3">
      <c r="A626" t="s">
        <v>7</v>
      </c>
      <c r="B626">
        <v>40</v>
      </c>
      <c r="C626">
        <v>0</v>
      </c>
      <c r="D626">
        <v>120</v>
      </c>
      <c r="E626">
        <f>SUM(Details[[#This Row],[Actual_Cost]],Details[[#This Row],[Profit]])</f>
        <v>120</v>
      </c>
      <c r="F626">
        <v>3</v>
      </c>
      <c r="G626">
        <f>PRODUCT(Details[[#This Row],[Selling_Cost]],Details[[#This Row],[Quantity]])</f>
        <v>360</v>
      </c>
      <c r="H626" t="s">
        <v>8</v>
      </c>
      <c r="I626" t="s">
        <v>9</v>
      </c>
      <c r="J626" t="s">
        <v>27</v>
      </c>
      <c r="K626" t="s">
        <v>539</v>
      </c>
      <c r="L626" t="s">
        <v>554</v>
      </c>
    </row>
    <row r="627" spans="1:12" x14ac:dyDescent="0.3">
      <c r="A627" t="s">
        <v>205</v>
      </c>
      <c r="B627">
        <v>43</v>
      </c>
      <c r="C627">
        <v>0</v>
      </c>
      <c r="D627">
        <v>129</v>
      </c>
      <c r="E627">
        <f>SUM(Details[[#This Row],[Actual_Cost]],Details[[#This Row],[Profit]])</f>
        <v>129</v>
      </c>
      <c r="F627">
        <v>3</v>
      </c>
      <c r="G627">
        <f>PRODUCT(Details[[#This Row],[Selling_Cost]],Details[[#This Row],[Quantity]])</f>
        <v>387</v>
      </c>
      <c r="H627" t="s">
        <v>8</v>
      </c>
      <c r="I627" t="s">
        <v>9</v>
      </c>
      <c r="J627" t="s">
        <v>42</v>
      </c>
      <c r="K627" t="s">
        <v>578</v>
      </c>
      <c r="L627" t="s">
        <v>565</v>
      </c>
    </row>
    <row r="628" spans="1:12" x14ac:dyDescent="0.3">
      <c r="A628" t="s">
        <v>329</v>
      </c>
      <c r="B628">
        <v>75</v>
      </c>
      <c r="C628">
        <v>0</v>
      </c>
      <c r="D628">
        <v>225</v>
      </c>
      <c r="E628">
        <f>SUM(Details[[#This Row],[Actual_Cost]],Details[[#This Row],[Profit]])</f>
        <v>225</v>
      </c>
      <c r="F628">
        <v>3</v>
      </c>
      <c r="G628">
        <f>PRODUCT(Details[[#This Row],[Selling_Cost]],Details[[#This Row],[Quantity]])</f>
        <v>675</v>
      </c>
      <c r="H628" t="s">
        <v>8</v>
      </c>
      <c r="I628" t="s">
        <v>61</v>
      </c>
      <c r="J628" t="s">
        <v>125</v>
      </c>
      <c r="K628" t="s">
        <v>548</v>
      </c>
      <c r="L628" t="s">
        <v>585</v>
      </c>
    </row>
    <row r="629" spans="1:12" x14ac:dyDescent="0.3">
      <c r="A629" t="s">
        <v>337</v>
      </c>
      <c r="B629">
        <v>102</v>
      </c>
      <c r="C629">
        <v>0</v>
      </c>
      <c r="D629">
        <v>306</v>
      </c>
      <c r="E629">
        <f>SUM(Details[[#This Row],[Actual_Cost]],Details[[#This Row],[Profit]])</f>
        <v>306</v>
      </c>
      <c r="F629">
        <v>3</v>
      </c>
      <c r="G629">
        <f>PRODUCT(Details[[#This Row],[Selling_Cost]],Details[[#This Row],[Quantity]])</f>
        <v>918</v>
      </c>
      <c r="H629" t="s">
        <v>13</v>
      </c>
      <c r="I629" t="s">
        <v>14</v>
      </c>
      <c r="J629" t="s">
        <v>10</v>
      </c>
      <c r="K629" t="s">
        <v>548</v>
      </c>
      <c r="L629" t="s">
        <v>585</v>
      </c>
    </row>
    <row r="630" spans="1:12" x14ac:dyDescent="0.3">
      <c r="A630" t="s">
        <v>75</v>
      </c>
      <c r="B630">
        <v>125</v>
      </c>
      <c r="C630">
        <v>0</v>
      </c>
      <c r="D630">
        <v>375</v>
      </c>
      <c r="E630">
        <f>SUM(Details[[#This Row],[Actual_Cost]],Details[[#This Row],[Profit]])</f>
        <v>375</v>
      </c>
      <c r="F630">
        <v>3</v>
      </c>
      <c r="G630">
        <f>PRODUCT(Details[[#This Row],[Selling_Cost]],Details[[#This Row],[Quantity]])</f>
        <v>1125</v>
      </c>
      <c r="H630" t="s">
        <v>13</v>
      </c>
      <c r="I630" t="s">
        <v>55</v>
      </c>
      <c r="J630" t="s">
        <v>10</v>
      </c>
      <c r="K630" t="s">
        <v>632</v>
      </c>
      <c r="L630" t="s">
        <v>563</v>
      </c>
    </row>
    <row r="631" spans="1:12" x14ac:dyDescent="0.3">
      <c r="A631" t="s">
        <v>81</v>
      </c>
      <c r="B631">
        <v>145</v>
      </c>
      <c r="C631">
        <v>0</v>
      </c>
      <c r="D631">
        <v>435</v>
      </c>
      <c r="E631">
        <f>SUM(Details[[#This Row],[Actual_Cost]],Details[[#This Row],[Profit]])</f>
        <v>435</v>
      </c>
      <c r="F631">
        <v>3</v>
      </c>
      <c r="G631">
        <f>PRODUCT(Details[[#This Row],[Selling_Cost]],Details[[#This Row],[Quantity]])</f>
        <v>1305</v>
      </c>
      <c r="H631" t="s">
        <v>8</v>
      </c>
      <c r="I631" t="s">
        <v>9</v>
      </c>
      <c r="J631" t="s">
        <v>18</v>
      </c>
      <c r="K631" t="s">
        <v>610</v>
      </c>
      <c r="L631" t="s">
        <v>541</v>
      </c>
    </row>
    <row r="632" spans="1:12" x14ac:dyDescent="0.3">
      <c r="A632" t="s">
        <v>53</v>
      </c>
      <c r="B632">
        <v>148</v>
      </c>
      <c r="C632">
        <v>0</v>
      </c>
      <c r="D632">
        <v>444</v>
      </c>
      <c r="E632">
        <f>SUM(Details[[#This Row],[Actual_Cost]],Details[[#This Row],[Profit]])</f>
        <v>444</v>
      </c>
      <c r="F632">
        <v>3</v>
      </c>
      <c r="G632">
        <f>PRODUCT(Details[[#This Row],[Selling_Cost]],Details[[#This Row],[Quantity]])</f>
        <v>1332</v>
      </c>
      <c r="H632" t="s">
        <v>8</v>
      </c>
      <c r="I632" t="s">
        <v>9</v>
      </c>
      <c r="J632" t="s">
        <v>10</v>
      </c>
      <c r="K632" t="s">
        <v>548</v>
      </c>
      <c r="L632" t="s">
        <v>583</v>
      </c>
    </row>
    <row r="633" spans="1:12" x14ac:dyDescent="0.3">
      <c r="A633" t="s">
        <v>333</v>
      </c>
      <c r="B633">
        <v>169</v>
      </c>
      <c r="C633">
        <v>0</v>
      </c>
      <c r="D633">
        <v>507</v>
      </c>
      <c r="E633">
        <f>SUM(Details[[#This Row],[Actual_Cost]],Details[[#This Row],[Profit]])</f>
        <v>507</v>
      </c>
      <c r="F633">
        <v>3</v>
      </c>
      <c r="G633">
        <f>PRODUCT(Details[[#This Row],[Selling_Cost]],Details[[#This Row],[Quantity]])</f>
        <v>1521</v>
      </c>
      <c r="H633" t="s">
        <v>13</v>
      </c>
      <c r="I633" t="s">
        <v>55</v>
      </c>
      <c r="J633" t="s">
        <v>10</v>
      </c>
      <c r="K633" t="s">
        <v>626</v>
      </c>
      <c r="L633" t="s">
        <v>541</v>
      </c>
    </row>
    <row r="634" spans="1:12" x14ac:dyDescent="0.3">
      <c r="A634" t="s">
        <v>360</v>
      </c>
      <c r="B634">
        <v>476</v>
      </c>
      <c r="C634">
        <v>0</v>
      </c>
      <c r="D634">
        <v>1428</v>
      </c>
      <c r="E634">
        <f>SUM(Details[[#This Row],[Actual_Cost]],Details[[#This Row],[Profit]])</f>
        <v>1428</v>
      </c>
      <c r="F634">
        <v>3</v>
      </c>
      <c r="G634">
        <f>PRODUCT(Details[[#This Row],[Selling_Cost]],Details[[#This Row],[Quantity]])</f>
        <v>4284</v>
      </c>
      <c r="H634" t="s">
        <v>16</v>
      </c>
      <c r="I634" t="s">
        <v>23</v>
      </c>
      <c r="J634" t="s">
        <v>10</v>
      </c>
      <c r="K634" t="s">
        <v>626</v>
      </c>
      <c r="L634" t="s">
        <v>565</v>
      </c>
    </row>
    <row r="635" spans="1:12" x14ac:dyDescent="0.3">
      <c r="A635" t="s">
        <v>89</v>
      </c>
      <c r="B635">
        <v>534</v>
      </c>
      <c r="C635">
        <v>0</v>
      </c>
      <c r="D635">
        <v>1602</v>
      </c>
      <c r="E635">
        <f>SUM(Details[[#This Row],[Actual_Cost]],Details[[#This Row],[Profit]])</f>
        <v>1602</v>
      </c>
      <c r="F635">
        <v>3</v>
      </c>
      <c r="G635">
        <f>PRODUCT(Details[[#This Row],[Selling_Cost]],Details[[#This Row],[Quantity]])</f>
        <v>4806</v>
      </c>
      <c r="H635" t="s">
        <v>8</v>
      </c>
      <c r="I635" t="s">
        <v>9</v>
      </c>
      <c r="J635" t="s">
        <v>42</v>
      </c>
      <c r="K635" t="s">
        <v>548</v>
      </c>
      <c r="L635" t="s">
        <v>624</v>
      </c>
    </row>
    <row r="636" spans="1:12" x14ac:dyDescent="0.3">
      <c r="A636" t="s">
        <v>361</v>
      </c>
      <c r="B636">
        <v>534</v>
      </c>
      <c r="C636">
        <v>0</v>
      </c>
      <c r="D636">
        <v>1602</v>
      </c>
      <c r="E636">
        <f>SUM(Details[[#This Row],[Actual_Cost]],Details[[#This Row],[Profit]])</f>
        <v>1602</v>
      </c>
      <c r="F636">
        <v>3</v>
      </c>
      <c r="G636">
        <f>PRODUCT(Details[[#This Row],[Selling_Cost]],Details[[#This Row],[Quantity]])</f>
        <v>4806</v>
      </c>
      <c r="H636" t="s">
        <v>8</v>
      </c>
      <c r="I636" t="s">
        <v>9</v>
      </c>
      <c r="J636" t="s">
        <v>42</v>
      </c>
      <c r="K636" t="s">
        <v>607</v>
      </c>
      <c r="L636" t="s">
        <v>565</v>
      </c>
    </row>
    <row r="637" spans="1:12" x14ac:dyDescent="0.3">
      <c r="A637" t="s">
        <v>362</v>
      </c>
      <c r="B637">
        <v>832</v>
      </c>
      <c r="C637">
        <v>0</v>
      </c>
      <c r="D637">
        <v>2496</v>
      </c>
      <c r="E637">
        <f>SUM(Details[[#This Row],[Actual_Cost]],Details[[#This Row],[Profit]])</f>
        <v>2496</v>
      </c>
      <c r="F637">
        <v>3</v>
      </c>
      <c r="G637">
        <f>PRODUCT(Details[[#This Row],[Selling_Cost]],Details[[#This Row],[Quantity]])</f>
        <v>7488</v>
      </c>
      <c r="H637" t="s">
        <v>8</v>
      </c>
      <c r="I637" t="s">
        <v>41</v>
      </c>
      <c r="J637" t="s">
        <v>18</v>
      </c>
      <c r="K637" t="s">
        <v>596</v>
      </c>
      <c r="L637" t="s">
        <v>624</v>
      </c>
    </row>
    <row r="638" spans="1:12" x14ac:dyDescent="0.3">
      <c r="A638" t="s">
        <v>363</v>
      </c>
      <c r="B638">
        <v>18</v>
      </c>
      <c r="C638">
        <v>1</v>
      </c>
      <c r="D638">
        <v>54</v>
      </c>
      <c r="E638">
        <f>SUM(Details[[#This Row],[Actual_Cost]],Details[[#This Row],[Profit]])</f>
        <v>55</v>
      </c>
      <c r="F638">
        <v>3</v>
      </c>
      <c r="G638">
        <f>PRODUCT(Details[[#This Row],[Selling_Cost]],Details[[#This Row],[Quantity]])</f>
        <v>165</v>
      </c>
      <c r="H638" t="s">
        <v>8</v>
      </c>
      <c r="I638" t="s">
        <v>48</v>
      </c>
      <c r="J638" t="s">
        <v>10</v>
      </c>
      <c r="K638" t="s">
        <v>552</v>
      </c>
      <c r="L638" t="s">
        <v>583</v>
      </c>
    </row>
    <row r="639" spans="1:12" x14ac:dyDescent="0.3">
      <c r="A639" t="s">
        <v>213</v>
      </c>
      <c r="B639">
        <v>45</v>
      </c>
      <c r="C639">
        <v>1</v>
      </c>
      <c r="D639">
        <v>135</v>
      </c>
      <c r="E639">
        <f>SUM(Details[[#This Row],[Actual_Cost]],Details[[#This Row],[Profit]])</f>
        <v>136</v>
      </c>
      <c r="F639">
        <v>3</v>
      </c>
      <c r="G639">
        <f>PRODUCT(Details[[#This Row],[Selling_Cost]],Details[[#This Row],[Quantity]])</f>
        <v>408</v>
      </c>
      <c r="H639" t="s">
        <v>8</v>
      </c>
      <c r="I639" t="s">
        <v>46</v>
      </c>
      <c r="J639" t="s">
        <v>42</v>
      </c>
      <c r="K639" t="s">
        <v>661</v>
      </c>
      <c r="L639" t="s">
        <v>567</v>
      </c>
    </row>
    <row r="640" spans="1:12" x14ac:dyDescent="0.3">
      <c r="A640" t="s">
        <v>224</v>
      </c>
      <c r="B640">
        <v>62</v>
      </c>
      <c r="C640">
        <v>1</v>
      </c>
      <c r="D640">
        <v>186</v>
      </c>
      <c r="E640">
        <f>SUM(Details[[#This Row],[Actual_Cost]],Details[[#This Row],[Profit]])</f>
        <v>187</v>
      </c>
      <c r="F640">
        <v>3</v>
      </c>
      <c r="G640">
        <f>PRODUCT(Details[[#This Row],[Selling_Cost]],Details[[#This Row],[Quantity]])</f>
        <v>561</v>
      </c>
      <c r="H640" t="s">
        <v>8</v>
      </c>
      <c r="I640" t="s">
        <v>9</v>
      </c>
      <c r="J640" t="s">
        <v>10</v>
      </c>
      <c r="K640" t="s">
        <v>596</v>
      </c>
      <c r="L640" t="s">
        <v>567</v>
      </c>
    </row>
    <row r="641" spans="1:12" x14ac:dyDescent="0.3">
      <c r="A641" t="s">
        <v>236</v>
      </c>
      <c r="B641">
        <v>18</v>
      </c>
      <c r="C641">
        <v>2</v>
      </c>
      <c r="D641">
        <v>54</v>
      </c>
      <c r="E641">
        <f>SUM(Details[[#This Row],[Actual_Cost]],Details[[#This Row],[Profit]])</f>
        <v>56</v>
      </c>
      <c r="F641">
        <v>3</v>
      </c>
      <c r="G641">
        <f>PRODUCT(Details[[#This Row],[Selling_Cost]],Details[[#This Row],[Quantity]])</f>
        <v>168</v>
      </c>
      <c r="H641" t="s">
        <v>8</v>
      </c>
      <c r="I641" t="s">
        <v>48</v>
      </c>
      <c r="J641" t="s">
        <v>10</v>
      </c>
      <c r="K641" t="s">
        <v>578</v>
      </c>
      <c r="L641" t="s">
        <v>544</v>
      </c>
    </row>
    <row r="642" spans="1:12" x14ac:dyDescent="0.3">
      <c r="A642" t="s">
        <v>326</v>
      </c>
      <c r="B642">
        <v>18</v>
      </c>
      <c r="C642">
        <v>2</v>
      </c>
      <c r="D642">
        <v>54</v>
      </c>
      <c r="E642">
        <f>SUM(Details[[#This Row],[Actual_Cost]],Details[[#This Row],[Profit]])</f>
        <v>56</v>
      </c>
      <c r="F642">
        <v>3</v>
      </c>
      <c r="G642">
        <f>PRODUCT(Details[[#This Row],[Selling_Cost]],Details[[#This Row],[Quantity]])</f>
        <v>168</v>
      </c>
      <c r="H642" t="s">
        <v>8</v>
      </c>
      <c r="I642" t="s">
        <v>48</v>
      </c>
      <c r="J642" t="s">
        <v>27</v>
      </c>
      <c r="K642" t="s">
        <v>587</v>
      </c>
      <c r="L642" t="s">
        <v>550</v>
      </c>
    </row>
    <row r="643" spans="1:12" x14ac:dyDescent="0.3">
      <c r="A643" t="s">
        <v>364</v>
      </c>
      <c r="B643">
        <v>25</v>
      </c>
      <c r="C643">
        <v>2</v>
      </c>
      <c r="D643">
        <v>75</v>
      </c>
      <c r="E643">
        <f>SUM(Details[[#This Row],[Actual_Cost]],Details[[#This Row],[Profit]])</f>
        <v>77</v>
      </c>
      <c r="F643">
        <v>3</v>
      </c>
      <c r="G643">
        <f>PRODUCT(Details[[#This Row],[Selling_Cost]],Details[[#This Row],[Quantity]])</f>
        <v>231</v>
      </c>
      <c r="H643" t="s">
        <v>8</v>
      </c>
      <c r="I643" t="s">
        <v>44</v>
      </c>
      <c r="J643" t="s">
        <v>27</v>
      </c>
      <c r="K643" t="s">
        <v>661</v>
      </c>
      <c r="L643" t="s">
        <v>544</v>
      </c>
    </row>
    <row r="644" spans="1:12" x14ac:dyDescent="0.3">
      <c r="A644" t="s">
        <v>365</v>
      </c>
      <c r="B644">
        <v>29</v>
      </c>
      <c r="C644">
        <v>2</v>
      </c>
      <c r="D644">
        <v>87</v>
      </c>
      <c r="E644">
        <f>SUM(Details[[#This Row],[Actual_Cost]],Details[[#This Row],[Profit]])</f>
        <v>89</v>
      </c>
      <c r="F644">
        <v>3</v>
      </c>
      <c r="G644">
        <f>PRODUCT(Details[[#This Row],[Selling_Cost]],Details[[#This Row],[Quantity]])</f>
        <v>267</v>
      </c>
      <c r="H644" t="s">
        <v>8</v>
      </c>
      <c r="I644" t="s">
        <v>58</v>
      </c>
      <c r="J644" t="s">
        <v>10</v>
      </c>
      <c r="K644" t="s">
        <v>539</v>
      </c>
      <c r="L644" t="s">
        <v>546</v>
      </c>
    </row>
    <row r="645" spans="1:12" x14ac:dyDescent="0.3">
      <c r="A645" t="s">
        <v>129</v>
      </c>
      <c r="B645">
        <v>44</v>
      </c>
      <c r="C645">
        <v>2</v>
      </c>
      <c r="D645">
        <v>132</v>
      </c>
      <c r="E645">
        <f>SUM(Details[[#This Row],[Actual_Cost]],Details[[#This Row],[Profit]])</f>
        <v>134</v>
      </c>
      <c r="F645">
        <v>3</v>
      </c>
      <c r="G645">
        <f>PRODUCT(Details[[#This Row],[Selling_Cost]],Details[[#This Row],[Quantity]])</f>
        <v>402</v>
      </c>
      <c r="H645" t="s">
        <v>8</v>
      </c>
      <c r="I645" t="s">
        <v>48</v>
      </c>
      <c r="J645" t="s">
        <v>10</v>
      </c>
      <c r="K645" t="s">
        <v>561</v>
      </c>
      <c r="L645" t="s">
        <v>546</v>
      </c>
    </row>
    <row r="646" spans="1:12" x14ac:dyDescent="0.3">
      <c r="A646" t="s">
        <v>252</v>
      </c>
      <c r="B646">
        <v>48</v>
      </c>
      <c r="C646">
        <v>2</v>
      </c>
      <c r="D646">
        <v>144</v>
      </c>
      <c r="E646">
        <f>SUM(Details[[#This Row],[Actual_Cost]],Details[[#This Row],[Profit]])</f>
        <v>146</v>
      </c>
      <c r="F646">
        <v>3</v>
      </c>
      <c r="G646">
        <f>PRODUCT(Details[[#This Row],[Selling_Cost]],Details[[#This Row],[Quantity]])</f>
        <v>438</v>
      </c>
      <c r="H646" t="s">
        <v>8</v>
      </c>
      <c r="I646" t="s">
        <v>29</v>
      </c>
      <c r="J646" t="s">
        <v>10</v>
      </c>
      <c r="K646" t="s">
        <v>543</v>
      </c>
      <c r="L646" t="s">
        <v>546</v>
      </c>
    </row>
    <row r="647" spans="1:12" x14ac:dyDescent="0.3">
      <c r="A647" t="s">
        <v>290</v>
      </c>
      <c r="B647">
        <v>159</v>
      </c>
      <c r="C647">
        <v>2</v>
      </c>
      <c r="D647">
        <v>477</v>
      </c>
      <c r="E647">
        <f>SUM(Details[[#This Row],[Actual_Cost]],Details[[#This Row],[Profit]])</f>
        <v>479</v>
      </c>
      <c r="F647">
        <v>3</v>
      </c>
      <c r="G647">
        <f>PRODUCT(Details[[#This Row],[Selling_Cost]],Details[[#This Row],[Quantity]])</f>
        <v>1437</v>
      </c>
      <c r="H647" t="s">
        <v>16</v>
      </c>
      <c r="I647" t="s">
        <v>32</v>
      </c>
      <c r="J647" t="s">
        <v>125</v>
      </c>
      <c r="K647" t="s">
        <v>569</v>
      </c>
      <c r="L647" t="s">
        <v>550</v>
      </c>
    </row>
    <row r="648" spans="1:12" x14ac:dyDescent="0.3">
      <c r="A648" t="s">
        <v>354</v>
      </c>
      <c r="B648">
        <v>26</v>
      </c>
      <c r="C648">
        <v>3</v>
      </c>
      <c r="D648">
        <v>78</v>
      </c>
      <c r="E648">
        <f>SUM(Details[[#This Row],[Actual_Cost]],Details[[#This Row],[Profit]])</f>
        <v>81</v>
      </c>
      <c r="F648">
        <v>3</v>
      </c>
      <c r="G648">
        <f>PRODUCT(Details[[#This Row],[Selling_Cost]],Details[[#This Row],[Quantity]])</f>
        <v>243</v>
      </c>
      <c r="H648" t="s">
        <v>8</v>
      </c>
      <c r="I648" t="s">
        <v>58</v>
      </c>
      <c r="J648" t="s">
        <v>18</v>
      </c>
      <c r="K648" t="s">
        <v>569</v>
      </c>
      <c r="L648" t="s">
        <v>546</v>
      </c>
    </row>
    <row r="649" spans="1:12" x14ac:dyDescent="0.3">
      <c r="A649" t="s">
        <v>127</v>
      </c>
      <c r="B649">
        <v>34</v>
      </c>
      <c r="C649">
        <v>3</v>
      </c>
      <c r="D649">
        <v>102</v>
      </c>
      <c r="E649">
        <f>SUM(Details[[#This Row],[Actual_Cost]],Details[[#This Row],[Profit]])</f>
        <v>105</v>
      </c>
      <c r="F649">
        <v>3</v>
      </c>
      <c r="G649">
        <f>PRODUCT(Details[[#This Row],[Selling_Cost]],Details[[#This Row],[Quantity]])</f>
        <v>315</v>
      </c>
      <c r="H649" t="s">
        <v>8</v>
      </c>
      <c r="I649" t="s">
        <v>9</v>
      </c>
      <c r="J649" t="s">
        <v>10</v>
      </c>
      <c r="K649" t="s">
        <v>578</v>
      </c>
      <c r="L649" t="s">
        <v>541</v>
      </c>
    </row>
    <row r="650" spans="1:12" x14ac:dyDescent="0.3">
      <c r="A650" t="s">
        <v>256</v>
      </c>
      <c r="B650">
        <v>37</v>
      </c>
      <c r="C650">
        <v>3</v>
      </c>
      <c r="D650">
        <v>111</v>
      </c>
      <c r="E650">
        <f>SUM(Details[[#This Row],[Actual_Cost]],Details[[#This Row],[Profit]])</f>
        <v>114</v>
      </c>
      <c r="F650">
        <v>3</v>
      </c>
      <c r="G650">
        <f>PRODUCT(Details[[#This Row],[Selling_Cost]],Details[[#This Row],[Quantity]])</f>
        <v>342</v>
      </c>
      <c r="H650" t="s">
        <v>8</v>
      </c>
      <c r="I650" t="s">
        <v>48</v>
      </c>
      <c r="J650" t="s">
        <v>10</v>
      </c>
      <c r="K650" t="s">
        <v>539</v>
      </c>
      <c r="L650" t="s">
        <v>567</v>
      </c>
    </row>
    <row r="651" spans="1:12" x14ac:dyDescent="0.3">
      <c r="A651" t="s">
        <v>236</v>
      </c>
      <c r="B651">
        <v>55</v>
      </c>
      <c r="C651">
        <v>3</v>
      </c>
      <c r="D651">
        <v>165</v>
      </c>
      <c r="E651">
        <f>SUM(Details[[#This Row],[Actual_Cost]],Details[[#This Row],[Profit]])</f>
        <v>168</v>
      </c>
      <c r="F651">
        <v>3</v>
      </c>
      <c r="G651">
        <f>PRODUCT(Details[[#This Row],[Selling_Cost]],Details[[#This Row],[Quantity]])</f>
        <v>504</v>
      </c>
      <c r="H651" t="s">
        <v>8</v>
      </c>
      <c r="I651" t="s">
        <v>46</v>
      </c>
      <c r="J651" t="s">
        <v>10</v>
      </c>
      <c r="K651" t="s">
        <v>578</v>
      </c>
      <c r="L651" t="s">
        <v>544</v>
      </c>
    </row>
    <row r="652" spans="1:12" x14ac:dyDescent="0.3">
      <c r="A652" t="s">
        <v>263</v>
      </c>
      <c r="B652">
        <v>60</v>
      </c>
      <c r="C652">
        <v>3</v>
      </c>
      <c r="D652">
        <v>180</v>
      </c>
      <c r="E652">
        <f>SUM(Details[[#This Row],[Actual_Cost]],Details[[#This Row],[Profit]])</f>
        <v>183</v>
      </c>
      <c r="F652">
        <v>3</v>
      </c>
      <c r="G652">
        <f>PRODUCT(Details[[#This Row],[Selling_Cost]],Details[[#This Row],[Quantity]])</f>
        <v>549</v>
      </c>
      <c r="H652" t="s">
        <v>8</v>
      </c>
      <c r="I652" t="s">
        <v>9</v>
      </c>
      <c r="J652" t="s">
        <v>18</v>
      </c>
      <c r="K652" t="s">
        <v>552</v>
      </c>
      <c r="L652" t="s">
        <v>546</v>
      </c>
    </row>
    <row r="653" spans="1:12" x14ac:dyDescent="0.3">
      <c r="A653" t="s">
        <v>366</v>
      </c>
      <c r="B653">
        <v>80</v>
      </c>
      <c r="C653">
        <v>3</v>
      </c>
      <c r="D653">
        <v>240</v>
      </c>
      <c r="E653">
        <f>SUM(Details[[#This Row],[Actual_Cost]],Details[[#This Row],[Profit]])</f>
        <v>243</v>
      </c>
      <c r="F653">
        <v>3</v>
      </c>
      <c r="G653">
        <f>PRODUCT(Details[[#This Row],[Selling_Cost]],Details[[#This Row],[Quantity]])</f>
        <v>729</v>
      </c>
      <c r="H653" t="s">
        <v>8</v>
      </c>
      <c r="I653" t="s">
        <v>29</v>
      </c>
      <c r="J653" t="s">
        <v>125</v>
      </c>
      <c r="K653" t="s">
        <v>578</v>
      </c>
      <c r="L653" t="s">
        <v>567</v>
      </c>
    </row>
    <row r="654" spans="1:12" x14ac:dyDescent="0.3">
      <c r="A654" t="s">
        <v>367</v>
      </c>
      <c r="B654">
        <v>21</v>
      </c>
      <c r="C654">
        <v>4</v>
      </c>
      <c r="D654">
        <v>63</v>
      </c>
      <c r="E654">
        <f>SUM(Details[[#This Row],[Actual_Cost]],Details[[#This Row],[Profit]])</f>
        <v>67</v>
      </c>
      <c r="F654">
        <v>3</v>
      </c>
      <c r="G654">
        <f>PRODUCT(Details[[#This Row],[Selling_Cost]],Details[[#This Row],[Quantity]])</f>
        <v>201</v>
      </c>
      <c r="H654" t="s">
        <v>8</v>
      </c>
      <c r="I654" t="s">
        <v>48</v>
      </c>
      <c r="J654" t="s">
        <v>27</v>
      </c>
      <c r="K654" t="s">
        <v>641</v>
      </c>
      <c r="L654" t="s">
        <v>541</v>
      </c>
    </row>
    <row r="655" spans="1:12" x14ac:dyDescent="0.3">
      <c r="A655" t="s">
        <v>206</v>
      </c>
      <c r="B655">
        <v>27</v>
      </c>
      <c r="C655">
        <v>4</v>
      </c>
      <c r="D655">
        <v>81</v>
      </c>
      <c r="E655">
        <f>SUM(Details[[#This Row],[Actual_Cost]],Details[[#This Row],[Profit]])</f>
        <v>85</v>
      </c>
      <c r="F655">
        <v>3</v>
      </c>
      <c r="G655">
        <f>PRODUCT(Details[[#This Row],[Selling_Cost]],Details[[#This Row],[Quantity]])</f>
        <v>255</v>
      </c>
      <c r="H655" t="s">
        <v>8</v>
      </c>
      <c r="I655" t="s">
        <v>58</v>
      </c>
      <c r="J655" t="s">
        <v>10</v>
      </c>
      <c r="K655" t="s">
        <v>552</v>
      </c>
      <c r="L655" t="s">
        <v>554</v>
      </c>
    </row>
    <row r="656" spans="1:12" x14ac:dyDescent="0.3">
      <c r="A656" t="s">
        <v>237</v>
      </c>
      <c r="B656">
        <v>128</v>
      </c>
      <c r="C656">
        <v>4</v>
      </c>
      <c r="D656">
        <v>384</v>
      </c>
      <c r="E656">
        <f>SUM(Details[[#This Row],[Actual_Cost]],Details[[#This Row],[Profit]])</f>
        <v>388</v>
      </c>
      <c r="F656">
        <v>3</v>
      </c>
      <c r="G656">
        <f>PRODUCT(Details[[#This Row],[Selling_Cost]],Details[[#This Row],[Quantity]])</f>
        <v>1164</v>
      </c>
      <c r="H656" t="s">
        <v>8</v>
      </c>
      <c r="I656" t="s">
        <v>9</v>
      </c>
      <c r="J656" t="s">
        <v>10</v>
      </c>
      <c r="K656" t="s">
        <v>539</v>
      </c>
      <c r="L656" t="s">
        <v>567</v>
      </c>
    </row>
    <row r="657" spans="1:12" x14ac:dyDescent="0.3">
      <c r="A657" t="s">
        <v>244</v>
      </c>
      <c r="B657">
        <v>128</v>
      </c>
      <c r="C657">
        <v>4</v>
      </c>
      <c r="D657">
        <v>384</v>
      </c>
      <c r="E657">
        <f>SUM(Details[[#This Row],[Actual_Cost]],Details[[#This Row],[Profit]])</f>
        <v>388</v>
      </c>
      <c r="F657">
        <v>3</v>
      </c>
      <c r="G657">
        <f>PRODUCT(Details[[#This Row],[Selling_Cost]],Details[[#This Row],[Quantity]])</f>
        <v>1164</v>
      </c>
      <c r="H657" t="s">
        <v>8</v>
      </c>
      <c r="I657" t="s">
        <v>9</v>
      </c>
      <c r="J657" t="s">
        <v>10</v>
      </c>
      <c r="K657" t="s">
        <v>569</v>
      </c>
      <c r="L657" t="s">
        <v>567</v>
      </c>
    </row>
    <row r="658" spans="1:12" x14ac:dyDescent="0.3">
      <c r="A658" t="s">
        <v>326</v>
      </c>
      <c r="B658">
        <v>223</v>
      </c>
      <c r="C658">
        <v>4</v>
      </c>
      <c r="D658">
        <v>669</v>
      </c>
      <c r="E658">
        <f>SUM(Details[[#This Row],[Actual_Cost]],Details[[#This Row],[Profit]])</f>
        <v>673</v>
      </c>
      <c r="F658">
        <v>3</v>
      </c>
      <c r="G658">
        <f>PRODUCT(Details[[#This Row],[Selling_Cost]],Details[[#This Row],[Quantity]])</f>
        <v>2019</v>
      </c>
      <c r="H658" t="s">
        <v>13</v>
      </c>
      <c r="I658" t="s">
        <v>14</v>
      </c>
      <c r="J658" t="s">
        <v>10</v>
      </c>
      <c r="K658" t="s">
        <v>587</v>
      </c>
      <c r="L658" t="s">
        <v>550</v>
      </c>
    </row>
    <row r="659" spans="1:12" x14ac:dyDescent="0.3">
      <c r="A659" t="s">
        <v>368</v>
      </c>
      <c r="B659">
        <v>43</v>
      </c>
      <c r="C659">
        <v>5</v>
      </c>
      <c r="D659">
        <v>129</v>
      </c>
      <c r="E659">
        <f>SUM(Details[[#This Row],[Actual_Cost]],Details[[#This Row],[Profit]])</f>
        <v>134</v>
      </c>
      <c r="F659">
        <v>3</v>
      </c>
      <c r="G659">
        <f>PRODUCT(Details[[#This Row],[Selling_Cost]],Details[[#This Row],[Quantity]])</f>
        <v>402</v>
      </c>
      <c r="H659" t="s">
        <v>8</v>
      </c>
      <c r="I659" t="s">
        <v>29</v>
      </c>
      <c r="J659" t="s">
        <v>10</v>
      </c>
      <c r="K659" t="s">
        <v>552</v>
      </c>
      <c r="L659" t="s">
        <v>550</v>
      </c>
    </row>
    <row r="660" spans="1:12" x14ac:dyDescent="0.3">
      <c r="A660" t="s">
        <v>145</v>
      </c>
      <c r="B660">
        <v>53</v>
      </c>
      <c r="C660">
        <v>5</v>
      </c>
      <c r="D660">
        <v>159</v>
      </c>
      <c r="E660">
        <f>SUM(Details[[#This Row],[Actual_Cost]],Details[[#This Row],[Profit]])</f>
        <v>164</v>
      </c>
      <c r="F660">
        <v>3</v>
      </c>
      <c r="G660">
        <f>PRODUCT(Details[[#This Row],[Selling_Cost]],Details[[#This Row],[Quantity]])</f>
        <v>492</v>
      </c>
      <c r="H660" t="s">
        <v>8</v>
      </c>
      <c r="I660" t="s">
        <v>46</v>
      </c>
      <c r="J660" t="s">
        <v>10</v>
      </c>
      <c r="K660" t="s">
        <v>607</v>
      </c>
      <c r="L660" t="s">
        <v>550</v>
      </c>
    </row>
    <row r="661" spans="1:12" x14ac:dyDescent="0.3">
      <c r="A661" t="s">
        <v>220</v>
      </c>
      <c r="B661">
        <v>155</v>
      </c>
      <c r="C661">
        <v>5</v>
      </c>
      <c r="D661">
        <v>465</v>
      </c>
      <c r="E661">
        <f>SUM(Details[[#This Row],[Actual_Cost]],Details[[#This Row],[Profit]])</f>
        <v>470</v>
      </c>
      <c r="F661">
        <v>3</v>
      </c>
      <c r="G661">
        <f>PRODUCT(Details[[#This Row],[Selling_Cost]],Details[[#This Row],[Quantity]])</f>
        <v>1410</v>
      </c>
      <c r="H661" t="s">
        <v>8</v>
      </c>
      <c r="I661" t="s">
        <v>29</v>
      </c>
      <c r="J661" t="s">
        <v>125</v>
      </c>
      <c r="K661" t="s">
        <v>711</v>
      </c>
      <c r="L661" t="s">
        <v>544</v>
      </c>
    </row>
    <row r="662" spans="1:12" x14ac:dyDescent="0.3">
      <c r="A662" t="s">
        <v>25</v>
      </c>
      <c r="B662">
        <v>180</v>
      </c>
      <c r="C662">
        <v>5</v>
      </c>
      <c r="D662">
        <v>540</v>
      </c>
      <c r="E662">
        <f>SUM(Details[[#This Row],[Actual_Cost]],Details[[#This Row],[Profit]])</f>
        <v>545</v>
      </c>
      <c r="F662">
        <v>3</v>
      </c>
      <c r="G662">
        <f>PRODUCT(Details[[#This Row],[Selling_Cost]],Details[[#This Row],[Quantity]])</f>
        <v>1635</v>
      </c>
      <c r="H662" t="s">
        <v>8</v>
      </c>
      <c r="I662" t="s">
        <v>41</v>
      </c>
      <c r="J662" t="s">
        <v>42</v>
      </c>
      <c r="K662" t="s">
        <v>552</v>
      </c>
      <c r="L662" t="s">
        <v>565</v>
      </c>
    </row>
    <row r="663" spans="1:12" x14ac:dyDescent="0.3">
      <c r="A663" t="s">
        <v>123</v>
      </c>
      <c r="B663">
        <v>16</v>
      </c>
      <c r="C663">
        <v>6</v>
      </c>
      <c r="D663">
        <v>48</v>
      </c>
      <c r="E663">
        <f>SUM(Details[[#This Row],[Actual_Cost]],Details[[#This Row],[Profit]])</f>
        <v>54</v>
      </c>
      <c r="F663">
        <v>3</v>
      </c>
      <c r="G663">
        <f>PRODUCT(Details[[#This Row],[Selling_Cost]],Details[[#This Row],[Quantity]])</f>
        <v>162</v>
      </c>
      <c r="H663" t="s">
        <v>8</v>
      </c>
      <c r="I663" t="s">
        <v>48</v>
      </c>
      <c r="J663" t="s">
        <v>10</v>
      </c>
      <c r="K663" t="s">
        <v>548</v>
      </c>
      <c r="L663" t="s">
        <v>544</v>
      </c>
    </row>
    <row r="664" spans="1:12" x14ac:dyDescent="0.3">
      <c r="A664" t="s">
        <v>216</v>
      </c>
      <c r="B664">
        <v>18</v>
      </c>
      <c r="C664">
        <v>6</v>
      </c>
      <c r="D664">
        <v>54</v>
      </c>
      <c r="E664">
        <f>SUM(Details[[#This Row],[Actual_Cost]],Details[[#This Row],[Profit]])</f>
        <v>60</v>
      </c>
      <c r="F664">
        <v>3</v>
      </c>
      <c r="G664">
        <f>PRODUCT(Details[[#This Row],[Selling_Cost]],Details[[#This Row],[Quantity]])</f>
        <v>180</v>
      </c>
      <c r="H664" t="s">
        <v>8</v>
      </c>
      <c r="I664" t="s">
        <v>48</v>
      </c>
      <c r="J664" t="s">
        <v>18</v>
      </c>
      <c r="K664" t="s">
        <v>548</v>
      </c>
      <c r="L664" t="s">
        <v>567</v>
      </c>
    </row>
    <row r="665" spans="1:12" x14ac:dyDescent="0.3">
      <c r="A665" t="s">
        <v>84</v>
      </c>
      <c r="B665">
        <v>27</v>
      </c>
      <c r="C665">
        <v>6</v>
      </c>
      <c r="D665">
        <v>81</v>
      </c>
      <c r="E665">
        <f>SUM(Details[[#This Row],[Actual_Cost]],Details[[#This Row],[Profit]])</f>
        <v>87</v>
      </c>
      <c r="F665">
        <v>3</v>
      </c>
      <c r="G665">
        <f>PRODUCT(Details[[#This Row],[Selling_Cost]],Details[[#This Row],[Quantity]])</f>
        <v>261</v>
      </c>
      <c r="H665" t="s">
        <v>8</v>
      </c>
      <c r="I665" t="s">
        <v>58</v>
      </c>
      <c r="J665" t="s">
        <v>10</v>
      </c>
      <c r="K665" t="s">
        <v>641</v>
      </c>
      <c r="L665" t="s">
        <v>541</v>
      </c>
    </row>
    <row r="666" spans="1:12" x14ac:dyDescent="0.3">
      <c r="A666" t="s">
        <v>258</v>
      </c>
      <c r="B666">
        <v>32</v>
      </c>
      <c r="C666">
        <v>6</v>
      </c>
      <c r="D666">
        <v>96</v>
      </c>
      <c r="E666">
        <f>SUM(Details[[#This Row],[Actual_Cost]],Details[[#This Row],[Profit]])</f>
        <v>102</v>
      </c>
      <c r="F666">
        <v>3</v>
      </c>
      <c r="G666">
        <f>PRODUCT(Details[[#This Row],[Selling_Cost]],Details[[#This Row],[Quantity]])</f>
        <v>306</v>
      </c>
      <c r="H666" t="s">
        <v>8</v>
      </c>
      <c r="I666" t="s">
        <v>61</v>
      </c>
      <c r="J666" t="s">
        <v>18</v>
      </c>
      <c r="K666" t="s">
        <v>607</v>
      </c>
      <c r="L666" t="s">
        <v>541</v>
      </c>
    </row>
    <row r="667" spans="1:12" x14ac:dyDescent="0.3">
      <c r="A667" t="s">
        <v>147</v>
      </c>
      <c r="B667">
        <v>32</v>
      </c>
      <c r="C667">
        <v>6</v>
      </c>
      <c r="D667">
        <v>96</v>
      </c>
      <c r="E667">
        <f>SUM(Details[[#This Row],[Actual_Cost]],Details[[#This Row],[Profit]])</f>
        <v>102</v>
      </c>
      <c r="F667">
        <v>3</v>
      </c>
      <c r="G667">
        <f>PRODUCT(Details[[#This Row],[Selling_Cost]],Details[[#This Row],[Quantity]])</f>
        <v>306</v>
      </c>
      <c r="H667" t="s">
        <v>8</v>
      </c>
      <c r="I667" t="s">
        <v>61</v>
      </c>
      <c r="J667" t="s">
        <v>10</v>
      </c>
      <c r="K667" t="s">
        <v>607</v>
      </c>
      <c r="L667" t="s">
        <v>585</v>
      </c>
    </row>
    <row r="668" spans="1:12" x14ac:dyDescent="0.3">
      <c r="A668" t="s">
        <v>299</v>
      </c>
      <c r="B668">
        <v>45</v>
      </c>
      <c r="C668">
        <v>6</v>
      </c>
      <c r="D668">
        <v>135</v>
      </c>
      <c r="E668">
        <f>SUM(Details[[#This Row],[Actual_Cost]],Details[[#This Row],[Profit]])</f>
        <v>141</v>
      </c>
      <c r="F668">
        <v>3</v>
      </c>
      <c r="G668">
        <f>PRODUCT(Details[[#This Row],[Selling_Cost]],Details[[#This Row],[Quantity]])</f>
        <v>423</v>
      </c>
      <c r="H668" t="s">
        <v>8</v>
      </c>
      <c r="I668" t="s">
        <v>61</v>
      </c>
      <c r="J668" t="s">
        <v>10</v>
      </c>
      <c r="K668" t="s">
        <v>587</v>
      </c>
      <c r="L668" t="s">
        <v>563</v>
      </c>
    </row>
    <row r="669" spans="1:12" x14ac:dyDescent="0.3">
      <c r="A669" t="s">
        <v>369</v>
      </c>
      <c r="B669">
        <v>17</v>
      </c>
      <c r="C669">
        <v>7</v>
      </c>
      <c r="D669">
        <v>51</v>
      </c>
      <c r="E669">
        <f>SUM(Details[[#This Row],[Actual_Cost]],Details[[#This Row],[Profit]])</f>
        <v>58</v>
      </c>
      <c r="F669">
        <v>3</v>
      </c>
      <c r="G669">
        <f>PRODUCT(Details[[#This Row],[Selling_Cost]],Details[[#This Row],[Quantity]])</f>
        <v>174</v>
      </c>
      <c r="H669" t="s">
        <v>8</v>
      </c>
      <c r="I669" t="s">
        <v>48</v>
      </c>
      <c r="J669" t="s">
        <v>42</v>
      </c>
      <c r="K669" t="s">
        <v>632</v>
      </c>
      <c r="L669" t="s">
        <v>546</v>
      </c>
    </row>
    <row r="670" spans="1:12" x14ac:dyDescent="0.3">
      <c r="A670" t="s">
        <v>102</v>
      </c>
      <c r="B670">
        <v>17</v>
      </c>
      <c r="C670">
        <v>7</v>
      </c>
      <c r="D670">
        <v>51</v>
      </c>
      <c r="E670">
        <f>SUM(Details[[#This Row],[Actual_Cost]],Details[[#This Row],[Profit]])</f>
        <v>58</v>
      </c>
      <c r="F670">
        <v>3</v>
      </c>
      <c r="G670">
        <f>PRODUCT(Details[[#This Row],[Selling_Cost]],Details[[#This Row],[Quantity]])</f>
        <v>174</v>
      </c>
      <c r="H670" t="s">
        <v>8</v>
      </c>
      <c r="I670" t="s">
        <v>48</v>
      </c>
      <c r="J670" t="s">
        <v>18</v>
      </c>
      <c r="K670" t="s">
        <v>552</v>
      </c>
      <c r="L670" t="s">
        <v>554</v>
      </c>
    </row>
    <row r="671" spans="1:12" x14ac:dyDescent="0.3">
      <c r="A671" t="s">
        <v>43</v>
      </c>
      <c r="B671">
        <v>32</v>
      </c>
      <c r="C671">
        <v>7</v>
      </c>
      <c r="D671">
        <v>96</v>
      </c>
      <c r="E671">
        <f>SUM(Details[[#This Row],[Actual_Cost]],Details[[#This Row],[Profit]])</f>
        <v>103</v>
      </c>
      <c r="F671">
        <v>3</v>
      </c>
      <c r="G671">
        <f>PRODUCT(Details[[#This Row],[Selling_Cost]],Details[[#This Row],[Quantity]])</f>
        <v>309</v>
      </c>
      <c r="H671" t="s">
        <v>8</v>
      </c>
      <c r="I671" t="s">
        <v>48</v>
      </c>
      <c r="J671" t="s">
        <v>10</v>
      </c>
      <c r="K671" t="s">
        <v>548</v>
      </c>
      <c r="L671" t="s">
        <v>554</v>
      </c>
    </row>
    <row r="672" spans="1:12" x14ac:dyDescent="0.3">
      <c r="A672" t="s">
        <v>256</v>
      </c>
      <c r="B672">
        <v>36</v>
      </c>
      <c r="C672">
        <v>7</v>
      </c>
      <c r="D672">
        <v>108</v>
      </c>
      <c r="E672">
        <f>SUM(Details[[#This Row],[Actual_Cost]],Details[[#This Row],[Profit]])</f>
        <v>115</v>
      </c>
      <c r="F672">
        <v>3</v>
      </c>
      <c r="G672">
        <f>PRODUCT(Details[[#This Row],[Selling_Cost]],Details[[#This Row],[Quantity]])</f>
        <v>345</v>
      </c>
      <c r="H672" t="s">
        <v>8</v>
      </c>
      <c r="I672" t="s">
        <v>69</v>
      </c>
      <c r="J672" t="s">
        <v>42</v>
      </c>
      <c r="K672" t="s">
        <v>539</v>
      </c>
      <c r="L672" t="s">
        <v>567</v>
      </c>
    </row>
    <row r="673" spans="1:12" x14ac:dyDescent="0.3">
      <c r="A673" t="s">
        <v>94</v>
      </c>
      <c r="B673">
        <v>57</v>
      </c>
      <c r="C673">
        <v>7</v>
      </c>
      <c r="D673">
        <v>171</v>
      </c>
      <c r="E673">
        <f>SUM(Details[[#This Row],[Actual_Cost]],Details[[#This Row],[Profit]])</f>
        <v>178</v>
      </c>
      <c r="F673">
        <v>3</v>
      </c>
      <c r="G673">
        <f>PRODUCT(Details[[#This Row],[Selling_Cost]],Details[[#This Row],[Quantity]])</f>
        <v>534</v>
      </c>
      <c r="H673" t="s">
        <v>16</v>
      </c>
      <c r="I673" t="s">
        <v>32</v>
      </c>
      <c r="J673" t="s">
        <v>10</v>
      </c>
      <c r="K673" t="s">
        <v>561</v>
      </c>
      <c r="L673" t="s">
        <v>567</v>
      </c>
    </row>
    <row r="674" spans="1:12" x14ac:dyDescent="0.3">
      <c r="A674" t="s">
        <v>78</v>
      </c>
      <c r="B674">
        <v>22</v>
      </c>
      <c r="C674">
        <v>8</v>
      </c>
      <c r="D674">
        <v>66</v>
      </c>
      <c r="E674">
        <f>SUM(Details[[#This Row],[Actual_Cost]],Details[[#This Row],[Profit]])</f>
        <v>74</v>
      </c>
      <c r="F674">
        <v>3</v>
      </c>
      <c r="G674">
        <f>PRODUCT(Details[[#This Row],[Selling_Cost]],Details[[#This Row],[Quantity]])</f>
        <v>222</v>
      </c>
      <c r="H674" t="s">
        <v>8</v>
      </c>
      <c r="I674" t="s">
        <v>48</v>
      </c>
      <c r="J674" t="s">
        <v>10</v>
      </c>
      <c r="K674" t="s">
        <v>548</v>
      </c>
      <c r="L674" t="s">
        <v>567</v>
      </c>
    </row>
    <row r="675" spans="1:12" x14ac:dyDescent="0.3">
      <c r="A675" t="s">
        <v>127</v>
      </c>
      <c r="B675">
        <v>43</v>
      </c>
      <c r="C675">
        <v>8</v>
      </c>
      <c r="D675">
        <v>129</v>
      </c>
      <c r="E675">
        <f>SUM(Details[[#This Row],[Actual_Cost]],Details[[#This Row],[Profit]])</f>
        <v>137</v>
      </c>
      <c r="F675">
        <v>3</v>
      </c>
      <c r="G675">
        <f>PRODUCT(Details[[#This Row],[Selling_Cost]],Details[[#This Row],[Quantity]])</f>
        <v>411</v>
      </c>
      <c r="H675" t="s">
        <v>8</v>
      </c>
      <c r="I675" t="s">
        <v>69</v>
      </c>
      <c r="J675" t="s">
        <v>10</v>
      </c>
      <c r="K675" t="s">
        <v>578</v>
      </c>
      <c r="L675" t="s">
        <v>541</v>
      </c>
    </row>
    <row r="676" spans="1:12" x14ac:dyDescent="0.3">
      <c r="A676" t="s">
        <v>370</v>
      </c>
      <c r="B676">
        <v>53</v>
      </c>
      <c r="C676">
        <v>8</v>
      </c>
      <c r="D676">
        <v>159</v>
      </c>
      <c r="E676">
        <f>SUM(Details[[#This Row],[Actual_Cost]],Details[[#This Row],[Profit]])</f>
        <v>167</v>
      </c>
      <c r="F676">
        <v>3</v>
      </c>
      <c r="G676">
        <f>PRODUCT(Details[[#This Row],[Selling_Cost]],Details[[#This Row],[Quantity]])</f>
        <v>501</v>
      </c>
      <c r="H676" t="s">
        <v>16</v>
      </c>
      <c r="I676" t="s">
        <v>32</v>
      </c>
      <c r="J676" t="s">
        <v>18</v>
      </c>
      <c r="K676" t="s">
        <v>548</v>
      </c>
      <c r="L676" t="s">
        <v>546</v>
      </c>
    </row>
    <row r="677" spans="1:12" x14ac:dyDescent="0.3">
      <c r="A677" t="s">
        <v>273</v>
      </c>
      <c r="B677">
        <v>82</v>
      </c>
      <c r="C677">
        <v>8</v>
      </c>
      <c r="D677">
        <v>246</v>
      </c>
      <c r="E677">
        <f>SUM(Details[[#This Row],[Actual_Cost]],Details[[#This Row],[Profit]])</f>
        <v>254</v>
      </c>
      <c r="F677">
        <v>3</v>
      </c>
      <c r="G677">
        <f>PRODUCT(Details[[#This Row],[Selling_Cost]],Details[[#This Row],[Quantity]])</f>
        <v>762</v>
      </c>
      <c r="H677" t="s">
        <v>13</v>
      </c>
      <c r="I677" t="s">
        <v>55</v>
      </c>
      <c r="J677" t="s">
        <v>125</v>
      </c>
      <c r="K677" t="s">
        <v>641</v>
      </c>
      <c r="L677" t="s">
        <v>541</v>
      </c>
    </row>
    <row r="678" spans="1:12" x14ac:dyDescent="0.3">
      <c r="A678" t="s">
        <v>50</v>
      </c>
      <c r="B678">
        <v>114</v>
      </c>
      <c r="C678">
        <v>8</v>
      </c>
      <c r="D678">
        <v>342</v>
      </c>
      <c r="E678">
        <f>SUM(Details[[#This Row],[Actual_Cost]],Details[[#This Row],[Profit]])</f>
        <v>350</v>
      </c>
      <c r="F678">
        <v>3</v>
      </c>
      <c r="G678">
        <f>PRODUCT(Details[[#This Row],[Selling_Cost]],Details[[#This Row],[Quantity]])</f>
        <v>1050</v>
      </c>
      <c r="H678" t="s">
        <v>13</v>
      </c>
      <c r="I678" t="s">
        <v>55</v>
      </c>
      <c r="J678" t="s">
        <v>42</v>
      </c>
      <c r="K678" t="s">
        <v>641</v>
      </c>
      <c r="L678" t="s">
        <v>585</v>
      </c>
    </row>
    <row r="679" spans="1:12" x14ac:dyDescent="0.3">
      <c r="A679" t="s">
        <v>371</v>
      </c>
      <c r="B679">
        <v>29</v>
      </c>
      <c r="C679">
        <v>9</v>
      </c>
      <c r="D679">
        <v>87</v>
      </c>
      <c r="E679">
        <f>SUM(Details[[#This Row],[Actual_Cost]],Details[[#This Row],[Profit]])</f>
        <v>96</v>
      </c>
      <c r="F679">
        <v>3</v>
      </c>
      <c r="G679">
        <f>PRODUCT(Details[[#This Row],[Selling_Cost]],Details[[#This Row],[Quantity]])</f>
        <v>288</v>
      </c>
      <c r="H679" t="s">
        <v>8</v>
      </c>
      <c r="I679" t="s">
        <v>9</v>
      </c>
      <c r="J679" t="s">
        <v>18</v>
      </c>
      <c r="K679" t="s">
        <v>552</v>
      </c>
      <c r="L679" t="s">
        <v>541</v>
      </c>
    </row>
    <row r="680" spans="1:12" x14ac:dyDescent="0.3">
      <c r="A680" t="s">
        <v>303</v>
      </c>
      <c r="B680">
        <v>45</v>
      </c>
      <c r="C680">
        <v>9</v>
      </c>
      <c r="D680">
        <v>135</v>
      </c>
      <c r="E680">
        <f>SUM(Details[[#This Row],[Actual_Cost]],Details[[#This Row],[Profit]])</f>
        <v>144</v>
      </c>
      <c r="F680">
        <v>3</v>
      </c>
      <c r="G680">
        <f>PRODUCT(Details[[#This Row],[Selling_Cost]],Details[[#This Row],[Quantity]])</f>
        <v>432</v>
      </c>
      <c r="H680" t="s">
        <v>8</v>
      </c>
      <c r="I680" t="s">
        <v>69</v>
      </c>
      <c r="J680" t="s">
        <v>18</v>
      </c>
      <c r="K680" t="s">
        <v>632</v>
      </c>
      <c r="L680" t="s">
        <v>541</v>
      </c>
    </row>
    <row r="681" spans="1:12" x14ac:dyDescent="0.3">
      <c r="A681" t="s">
        <v>349</v>
      </c>
      <c r="B681">
        <v>74</v>
      </c>
      <c r="C681">
        <v>9</v>
      </c>
      <c r="D681">
        <v>222</v>
      </c>
      <c r="E681">
        <f>SUM(Details[[#This Row],[Actual_Cost]],Details[[#This Row],[Profit]])</f>
        <v>231</v>
      </c>
      <c r="F681">
        <v>3</v>
      </c>
      <c r="G681">
        <f>PRODUCT(Details[[#This Row],[Selling_Cost]],Details[[#This Row],[Quantity]])</f>
        <v>693</v>
      </c>
      <c r="H681" t="s">
        <v>8</v>
      </c>
      <c r="I681" t="s">
        <v>61</v>
      </c>
      <c r="J681" t="s">
        <v>18</v>
      </c>
      <c r="K681" t="s">
        <v>610</v>
      </c>
      <c r="L681" t="s">
        <v>544</v>
      </c>
    </row>
    <row r="682" spans="1:12" x14ac:dyDescent="0.3">
      <c r="A682" t="s">
        <v>372</v>
      </c>
      <c r="B682">
        <v>86</v>
      </c>
      <c r="C682">
        <v>9</v>
      </c>
      <c r="D682">
        <v>258</v>
      </c>
      <c r="E682">
        <f>SUM(Details[[#This Row],[Actual_Cost]],Details[[#This Row],[Profit]])</f>
        <v>267</v>
      </c>
      <c r="F682">
        <v>3</v>
      </c>
      <c r="G682">
        <f>PRODUCT(Details[[#This Row],[Selling_Cost]],Details[[#This Row],[Quantity]])</f>
        <v>801</v>
      </c>
      <c r="H682" t="s">
        <v>8</v>
      </c>
      <c r="I682" t="s">
        <v>9</v>
      </c>
      <c r="J682" t="s">
        <v>10</v>
      </c>
      <c r="K682" t="s">
        <v>596</v>
      </c>
      <c r="L682" t="s">
        <v>567</v>
      </c>
    </row>
    <row r="683" spans="1:12" x14ac:dyDescent="0.3">
      <c r="A683" t="s">
        <v>306</v>
      </c>
      <c r="B683">
        <v>151</v>
      </c>
      <c r="C683">
        <v>9</v>
      </c>
      <c r="D683">
        <v>453</v>
      </c>
      <c r="E683">
        <f>SUM(Details[[#This Row],[Actual_Cost]],Details[[#This Row],[Profit]])</f>
        <v>462</v>
      </c>
      <c r="F683">
        <v>3</v>
      </c>
      <c r="G683">
        <f>PRODUCT(Details[[#This Row],[Selling_Cost]],Details[[#This Row],[Quantity]])</f>
        <v>1386</v>
      </c>
      <c r="H683" t="s">
        <v>8</v>
      </c>
      <c r="I683" t="s">
        <v>48</v>
      </c>
      <c r="J683" t="s">
        <v>125</v>
      </c>
      <c r="K683" t="s">
        <v>548</v>
      </c>
      <c r="L683" t="s">
        <v>546</v>
      </c>
    </row>
    <row r="684" spans="1:12" x14ac:dyDescent="0.3">
      <c r="A684" t="s">
        <v>262</v>
      </c>
      <c r="B684">
        <v>33</v>
      </c>
      <c r="C684">
        <v>10</v>
      </c>
      <c r="D684">
        <v>99</v>
      </c>
      <c r="E684">
        <f>SUM(Details[[#This Row],[Actual_Cost]],Details[[#This Row],[Profit]])</f>
        <v>109</v>
      </c>
      <c r="F684">
        <v>3</v>
      </c>
      <c r="G684">
        <f>PRODUCT(Details[[#This Row],[Selling_Cost]],Details[[#This Row],[Quantity]])</f>
        <v>327</v>
      </c>
      <c r="H684" t="s">
        <v>8</v>
      </c>
      <c r="I684" t="s">
        <v>48</v>
      </c>
      <c r="J684" t="s">
        <v>10</v>
      </c>
      <c r="K684" t="s">
        <v>548</v>
      </c>
      <c r="L684" t="s">
        <v>546</v>
      </c>
    </row>
    <row r="685" spans="1:12" x14ac:dyDescent="0.3">
      <c r="A685" t="s">
        <v>368</v>
      </c>
      <c r="B685">
        <v>33</v>
      </c>
      <c r="C685">
        <v>10</v>
      </c>
      <c r="D685">
        <v>99</v>
      </c>
      <c r="E685">
        <f>SUM(Details[[#This Row],[Actual_Cost]],Details[[#This Row],[Profit]])</f>
        <v>109</v>
      </c>
      <c r="F685">
        <v>3</v>
      </c>
      <c r="G685">
        <f>PRODUCT(Details[[#This Row],[Selling_Cost]],Details[[#This Row],[Quantity]])</f>
        <v>327</v>
      </c>
      <c r="H685" t="s">
        <v>8</v>
      </c>
      <c r="I685" t="s">
        <v>48</v>
      </c>
      <c r="J685" t="s">
        <v>10</v>
      </c>
      <c r="K685" t="s">
        <v>552</v>
      </c>
      <c r="L685" t="s">
        <v>550</v>
      </c>
    </row>
    <row r="686" spans="1:12" x14ac:dyDescent="0.3">
      <c r="A686" t="s">
        <v>114</v>
      </c>
      <c r="B686">
        <v>44</v>
      </c>
      <c r="C686">
        <v>10</v>
      </c>
      <c r="D686">
        <v>132</v>
      </c>
      <c r="E686">
        <f>SUM(Details[[#This Row],[Actual_Cost]],Details[[#This Row],[Profit]])</f>
        <v>142</v>
      </c>
      <c r="F686">
        <v>3</v>
      </c>
      <c r="G686">
        <f>PRODUCT(Details[[#This Row],[Selling_Cost]],Details[[#This Row],[Quantity]])</f>
        <v>426</v>
      </c>
      <c r="H686" t="s">
        <v>8</v>
      </c>
      <c r="I686" t="s">
        <v>29</v>
      </c>
      <c r="J686" t="s">
        <v>10</v>
      </c>
      <c r="K686" t="s">
        <v>569</v>
      </c>
      <c r="L686" t="s">
        <v>546</v>
      </c>
    </row>
    <row r="687" spans="1:12" x14ac:dyDescent="0.3">
      <c r="A687" t="s">
        <v>373</v>
      </c>
      <c r="B687">
        <v>87</v>
      </c>
      <c r="C687">
        <v>10</v>
      </c>
      <c r="D687">
        <v>261</v>
      </c>
      <c r="E687">
        <f>SUM(Details[[#This Row],[Actual_Cost]],Details[[#This Row],[Profit]])</f>
        <v>271</v>
      </c>
      <c r="F687">
        <v>3</v>
      </c>
      <c r="G687">
        <f>PRODUCT(Details[[#This Row],[Selling_Cost]],Details[[#This Row],[Quantity]])</f>
        <v>813</v>
      </c>
      <c r="H687" t="s">
        <v>8</v>
      </c>
      <c r="I687" t="s">
        <v>29</v>
      </c>
      <c r="J687" t="s">
        <v>10</v>
      </c>
      <c r="K687" t="s">
        <v>632</v>
      </c>
      <c r="L687" t="s">
        <v>544</v>
      </c>
    </row>
    <row r="688" spans="1:12" x14ac:dyDescent="0.3">
      <c r="A688" t="s">
        <v>374</v>
      </c>
      <c r="B688">
        <v>22</v>
      </c>
      <c r="C688">
        <v>11</v>
      </c>
      <c r="D688">
        <v>66</v>
      </c>
      <c r="E688">
        <f>SUM(Details[[#This Row],[Actual_Cost]],Details[[#This Row],[Profit]])</f>
        <v>77</v>
      </c>
      <c r="F688">
        <v>3</v>
      </c>
      <c r="G688">
        <f>PRODUCT(Details[[#This Row],[Selling_Cost]],Details[[#This Row],[Quantity]])</f>
        <v>231</v>
      </c>
      <c r="H688" t="s">
        <v>8</v>
      </c>
      <c r="I688" t="s">
        <v>44</v>
      </c>
      <c r="J688" t="s">
        <v>10</v>
      </c>
      <c r="K688" t="s">
        <v>607</v>
      </c>
      <c r="L688" t="s">
        <v>546</v>
      </c>
    </row>
    <row r="689" spans="1:12" x14ac:dyDescent="0.3">
      <c r="A689" t="s">
        <v>333</v>
      </c>
      <c r="B689">
        <v>24</v>
      </c>
      <c r="C689">
        <v>11</v>
      </c>
      <c r="D689">
        <v>72</v>
      </c>
      <c r="E689">
        <f>SUM(Details[[#This Row],[Actual_Cost]],Details[[#This Row],[Profit]])</f>
        <v>83</v>
      </c>
      <c r="F689">
        <v>3</v>
      </c>
      <c r="G689">
        <f>PRODUCT(Details[[#This Row],[Selling_Cost]],Details[[#This Row],[Quantity]])</f>
        <v>249</v>
      </c>
      <c r="H689" t="s">
        <v>8</v>
      </c>
      <c r="I689" t="s">
        <v>48</v>
      </c>
      <c r="J689" t="s">
        <v>42</v>
      </c>
      <c r="K689" t="s">
        <v>626</v>
      </c>
      <c r="L689" t="s">
        <v>541</v>
      </c>
    </row>
    <row r="690" spans="1:12" x14ac:dyDescent="0.3">
      <c r="A690" t="s">
        <v>306</v>
      </c>
      <c r="B690">
        <v>24</v>
      </c>
      <c r="C690">
        <v>11</v>
      </c>
      <c r="D690">
        <v>72</v>
      </c>
      <c r="E690">
        <f>SUM(Details[[#This Row],[Actual_Cost]],Details[[#This Row],[Profit]])</f>
        <v>83</v>
      </c>
      <c r="F690">
        <v>3</v>
      </c>
      <c r="G690">
        <f>PRODUCT(Details[[#This Row],[Selling_Cost]],Details[[#This Row],[Quantity]])</f>
        <v>249</v>
      </c>
      <c r="H690" t="s">
        <v>8</v>
      </c>
      <c r="I690" t="s">
        <v>48</v>
      </c>
      <c r="J690" t="s">
        <v>10</v>
      </c>
      <c r="K690" t="s">
        <v>548</v>
      </c>
      <c r="L690" t="s">
        <v>546</v>
      </c>
    </row>
    <row r="691" spans="1:12" x14ac:dyDescent="0.3">
      <c r="A691" t="s">
        <v>194</v>
      </c>
      <c r="B691">
        <v>25</v>
      </c>
      <c r="C691">
        <v>11</v>
      </c>
      <c r="D691">
        <v>75</v>
      </c>
      <c r="E691">
        <f>SUM(Details[[#This Row],[Actual_Cost]],Details[[#This Row],[Profit]])</f>
        <v>86</v>
      </c>
      <c r="F691">
        <v>3</v>
      </c>
      <c r="G691">
        <f>PRODUCT(Details[[#This Row],[Selling_Cost]],Details[[#This Row],[Quantity]])</f>
        <v>258</v>
      </c>
      <c r="H691" t="s">
        <v>8</v>
      </c>
      <c r="I691" t="s">
        <v>69</v>
      </c>
      <c r="J691" t="s">
        <v>42</v>
      </c>
      <c r="K691" t="s">
        <v>552</v>
      </c>
      <c r="L691" t="s">
        <v>550</v>
      </c>
    </row>
    <row r="692" spans="1:12" x14ac:dyDescent="0.3">
      <c r="A692" t="s">
        <v>375</v>
      </c>
      <c r="B692">
        <v>61</v>
      </c>
      <c r="C692">
        <v>11</v>
      </c>
      <c r="D692">
        <v>183</v>
      </c>
      <c r="E692">
        <f>SUM(Details[[#This Row],[Actual_Cost]],Details[[#This Row],[Profit]])</f>
        <v>194</v>
      </c>
      <c r="F692">
        <v>3</v>
      </c>
      <c r="G692">
        <f>PRODUCT(Details[[#This Row],[Selling_Cost]],Details[[#This Row],[Quantity]])</f>
        <v>582</v>
      </c>
      <c r="H692" t="s">
        <v>8</v>
      </c>
      <c r="I692" t="s">
        <v>44</v>
      </c>
      <c r="J692" t="s">
        <v>10</v>
      </c>
      <c r="K692" t="s">
        <v>539</v>
      </c>
      <c r="L692" t="s">
        <v>550</v>
      </c>
    </row>
    <row r="693" spans="1:12" x14ac:dyDescent="0.3">
      <c r="A693" t="s">
        <v>303</v>
      </c>
      <c r="B693">
        <v>88</v>
      </c>
      <c r="C693">
        <v>11</v>
      </c>
      <c r="D693">
        <v>264</v>
      </c>
      <c r="E693">
        <f>SUM(Details[[#This Row],[Actual_Cost]],Details[[#This Row],[Profit]])</f>
        <v>275</v>
      </c>
      <c r="F693">
        <v>3</v>
      </c>
      <c r="G693">
        <f>PRODUCT(Details[[#This Row],[Selling_Cost]],Details[[#This Row],[Quantity]])</f>
        <v>825</v>
      </c>
      <c r="H693" t="s">
        <v>13</v>
      </c>
      <c r="I693" t="s">
        <v>55</v>
      </c>
      <c r="J693" t="s">
        <v>10</v>
      </c>
      <c r="K693" t="s">
        <v>632</v>
      </c>
      <c r="L693" t="s">
        <v>541</v>
      </c>
    </row>
    <row r="694" spans="1:12" x14ac:dyDescent="0.3">
      <c r="A694" t="s">
        <v>376</v>
      </c>
      <c r="B694">
        <v>26</v>
      </c>
      <c r="C694">
        <v>12</v>
      </c>
      <c r="D694">
        <v>78</v>
      </c>
      <c r="E694">
        <f>SUM(Details[[#This Row],[Actual_Cost]],Details[[#This Row],[Profit]])</f>
        <v>90</v>
      </c>
      <c r="F694">
        <v>3</v>
      </c>
      <c r="G694">
        <f>PRODUCT(Details[[#This Row],[Selling_Cost]],Details[[#This Row],[Quantity]])</f>
        <v>270</v>
      </c>
      <c r="H694" t="s">
        <v>8</v>
      </c>
      <c r="I694" t="s">
        <v>48</v>
      </c>
      <c r="J694" t="s">
        <v>10</v>
      </c>
      <c r="K694" t="s">
        <v>610</v>
      </c>
      <c r="L694" t="s">
        <v>565</v>
      </c>
    </row>
    <row r="695" spans="1:12" x14ac:dyDescent="0.3">
      <c r="A695" t="s">
        <v>377</v>
      </c>
      <c r="B695">
        <v>30</v>
      </c>
      <c r="C695">
        <v>12</v>
      </c>
      <c r="D695">
        <v>90</v>
      </c>
      <c r="E695">
        <f>SUM(Details[[#This Row],[Actual_Cost]],Details[[#This Row],[Profit]])</f>
        <v>102</v>
      </c>
      <c r="F695">
        <v>3</v>
      </c>
      <c r="G695">
        <f>PRODUCT(Details[[#This Row],[Selling_Cost]],Details[[#This Row],[Quantity]])</f>
        <v>306</v>
      </c>
      <c r="H695" t="s">
        <v>8</v>
      </c>
      <c r="I695" t="s">
        <v>58</v>
      </c>
      <c r="J695" t="s">
        <v>18</v>
      </c>
      <c r="K695" t="s">
        <v>711</v>
      </c>
      <c r="L695" t="s">
        <v>541</v>
      </c>
    </row>
    <row r="696" spans="1:12" x14ac:dyDescent="0.3">
      <c r="A696" t="s">
        <v>159</v>
      </c>
      <c r="B696">
        <v>34</v>
      </c>
      <c r="C696">
        <v>12</v>
      </c>
      <c r="D696">
        <v>102</v>
      </c>
      <c r="E696">
        <f>SUM(Details[[#This Row],[Actual_Cost]],Details[[#This Row],[Profit]])</f>
        <v>114</v>
      </c>
      <c r="F696">
        <v>3</v>
      </c>
      <c r="G696">
        <f>PRODUCT(Details[[#This Row],[Selling_Cost]],Details[[#This Row],[Quantity]])</f>
        <v>342</v>
      </c>
      <c r="H696" t="s">
        <v>8</v>
      </c>
      <c r="I696" t="s">
        <v>48</v>
      </c>
      <c r="J696" t="s">
        <v>27</v>
      </c>
      <c r="K696" t="s">
        <v>548</v>
      </c>
      <c r="L696" t="s">
        <v>624</v>
      </c>
    </row>
    <row r="697" spans="1:12" x14ac:dyDescent="0.3">
      <c r="A697" t="s">
        <v>252</v>
      </c>
      <c r="B697">
        <v>54</v>
      </c>
      <c r="C697">
        <v>12</v>
      </c>
      <c r="D697">
        <v>162</v>
      </c>
      <c r="E697">
        <f>SUM(Details[[#This Row],[Actual_Cost]],Details[[#This Row],[Profit]])</f>
        <v>174</v>
      </c>
      <c r="F697">
        <v>3</v>
      </c>
      <c r="G697">
        <f>PRODUCT(Details[[#This Row],[Selling_Cost]],Details[[#This Row],[Quantity]])</f>
        <v>522</v>
      </c>
      <c r="H697" t="s">
        <v>8</v>
      </c>
      <c r="I697" t="s">
        <v>9</v>
      </c>
      <c r="J697" t="s">
        <v>42</v>
      </c>
      <c r="K697" t="s">
        <v>543</v>
      </c>
      <c r="L697" t="s">
        <v>546</v>
      </c>
    </row>
    <row r="698" spans="1:12" x14ac:dyDescent="0.3">
      <c r="A698" t="s">
        <v>80</v>
      </c>
      <c r="B698">
        <v>66</v>
      </c>
      <c r="C698">
        <v>12</v>
      </c>
      <c r="D698">
        <v>198</v>
      </c>
      <c r="E698">
        <f>SUM(Details[[#This Row],[Actual_Cost]],Details[[#This Row],[Profit]])</f>
        <v>210</v>
      </c>
      <c r="F698">
        <v>3</v>
      </c>
      <c r="G698">
        <f>PRODUCT(Details[[#This Row],[Selling_Cost]],Details[[#This Row],[Quantity]])</f>
        <v>630</v>
      </c>
      <c r="H698" t="s">
        <v>8</v>
      </c>
      <c r="I698" t="s">
        <v>29</v>
      </c>
      <c r="J698" t="s">
        <v>10</v>
      </c>
      <c r="K698" t="s">
        <v>552</v>
      </c>
      <c r="L698" t="s">
        <v>567</v>
      </c>
    </row>
    <row r="699" spans="1:12" x14ac:dyDescent="0.3">
      <c r="A699" t="s">
        <v>375</v>
      </c>
      <c r="B699">
        <v>83</v>
      </c>
      <c r="C699">
        <v>12</v>
      </c>
      <c r="D699">
        <v>249</v>
      </c>
      <c r="E699">
        <f>SUM(Details[[#This Row],[Actual_Cost]],Details[[#This Row],[Profit]])</f>
        <v>261</v>
      </c>
      <c r="F699">
        <v>3</v>
      </c>
      <c r="G699">
        <f>PRODUCT(Details[[#This Row],[Selling_Cost]],Details[[#This Row],[Quantity]])</f>
        <v>783</v>
      </c>
      <c r="H699" t="s">
        <v>8</v>
      </c>
      <c r="I699" t="s">
        <v>29</v>
      </c>
      <c r="J699" t="s">
        <v>18</v>
      </c>
      <c r="K699" t="s">
        <v>539</v>
      </c>
      <c r="L699" t="s">
        <v>550</v>
      </c>
    </row>
    <row r="700" spans="1:12" x14ac:dyDescent="0.3">
      <c r="A700" t="s">
        <v>141</v>
      </c>
      <c r="B700">
        <v>106</v>
      </c>
      <c r="C700">
        <v>12</v>
      </c>
      <c r="D700">
        <v>318</v>
      </c>
      <c r="E700">
        <f>SUM(Details[[#This Row],[Actual_Cost]],Details[[#This Row],[Profit]])</f>
        <v>330</v>
      </c>
      <c r="F700">
        <v>3</v>
      </c>
      <c r="G700">
        <f>PRODUCT(Details[[#This Row],[Selling_Cost]],Details[[#This Row],[Quantity]])</f>
        <v>990</v>
      </c>
      <c r="H700" t="s">
        <v>8</v>
      </c>
      <c r="I700" t="s">
        <v>41</v>
      </c>
      <c r="J700" t="s">
        <v>27</v>
      </c>
      <c r="K700" t="s">
        <v>552</v>
      </c>
      <c r="L700" t="s">
        <v>563</v>
      </c>
    </row>
    <row r="701" spans="1:12" x14ac:dyDescent="0.3">
      <c r="A701" t="s">
        <v>145</v>
      </c>
      <c r="B701">
        <v>33</v>
      </c>
      <c r="C701">
        <v>13</v>
      </c>
      <c r="D701">
        <v>99</v>
      </c>
      <c r="E701">
        <f>SUM(Details[[#This Row],[Actual_Cost]],Details[[#This Row],[Profit]])</f>
        <v>112</v>
      </c>
      <c r="F701">
        <v>3</v>
      </c>
      <c r="G701">
        <f>PRODUCT(Details[[#This Row],[Selling_Cost]],Details[[#This Row],[Quantity]])</f>
        <v>336</v>
      </c>
      <c r="H701" t="s">
        <v>8</v>
      </c>
      <c r="I701" t="s">
        <v>69</v>
      </c>
      <c r="J701" t="s">
        <v>18</v>
      </c>
      <c r="K701" t="s">
        <v>607</v>
      </c>
      <c r="L701" t="s">
        <v>550</v>
      </c>
    </row>
    <row r="702" spans="1:12" x14ac:dyDescent="0.3">
      <c r="A702" t="s">
        <v>277</v>
      </c>
      <c r="B702">
        <v>40</v>
      </c>
      <c r="C702">
        <v>13</v>
      </c>
      <c r="D702">
        <v>120</v>
      </c>
      <c r="E702">
        <f>SUM(Details[[#This Row],[Actual_Cost]],Details[[#This Row],[Profit]])</f>
        <v>133</v>
      </c>
      <c r="F702">
        <v>3</v>
      </c>
      <c r="G702">
        <f>PRODUCT(Details[[#This Row],[Selling_Cost]],Details[[#This Row],[Quantity]])</f>
        <v>399</v>
      </c>
      <c r="H702" t="s">
        <v>8</v>
      </c>
      <c r="I702" t="s">
        <v>46</v>
      </c>
      <c r="J702" t="s">
        <v>10</v>
      </c>
      <c r="K702" t="s">
        <v>587</v>
      </c>
      <c r="L702" t="s">
        <v>546</v>
      </c>
    </row>
    <row r="703" spans="1:12" x14ac:dyDescent="0.3">
      <c r="A703" t="s">
        <v>252</v>
      </c>
      <c r="B703">
        <v>42</v>
      </c>
      <c r="C703">
        <v>13</v>
      </c>
      <c r="D703">
        <v>126</v>
      </c>
      <c r="E703">
        <f>SUM(Details[[#This Row],[Actual_Cost]],Details[[#This Row],[Profit]])</f>
        <v>139</v>
      </c>
      <c r="F703">
        <v>3</v>
      </c>
      <c r="G703">
        <f>PRODUCT(Details[[#This Row],[Selling_Cost]],Details[[#This Row],[Quantity]])</f>
        <v>417</v>
      </c>
      <c r="H703" t="s">
        <v>8</v>
      </c>
      <c r="I703" t="s">
        <v>69</v>
      </c>
      <c r="J703" t="s">
        <v>10</v>
      </c>
      <c r="K703" t="s">
        <v>543</v>
      </c>
      <c r="L703" t="s">
        <v>546</v>
      </c>
    </row>
    <row r="704" spans="1:12" x14ac:dyDescent="0.3">
      <c r="A704" t="s">
        <v>135</v>
      </c>
      <c r="B704">
        <v>46</v>
      </c>
      <c r="C704">
        <v>13</v>
      </c>
      <c r="D704">
        <v>138</v>
      </c>
      <c r="E704">
        <f>SUM(Details[[#This Row],[Actual_Cost]],Details[[#This Row],[Profit]])</f>
        <v>151</v>
      </c>
      <c r="F704">
        <v>3</v>
      </c>
      <c r="G704">
        <f>PRODUCT(Details[[#This Row],[Selling_Cost]],Details[[#This Row],[Quantity]])</f>
        <v>453</v>
      </c>
      <c r="H704" t="s">
        <v>8</v>
      </c>
      <c r="I704" t="s">
        <v>48</v>
      </c>
      <c r="J704" t="s">
        <v>10</v>
      </c>
      <c r="K704" t="s">
        <v>581</v>
      </c>
      <c r="L704" t="s">
        <v>541</v>
      </c>
    </row>
    <row r="705" spans="1:12" x14ac:dyDescent="0.3">
      <c r="A705" t="s">
        <v>244</v>
      </c>
      <c r="B705">
        <v>30</v>
      </c>
      <c r="C705">
        <v>14</v>
      </c>
      <c r="D705">
        <v>90</v>
      </c>
      <c r="E705">
        <f>SUM(Details[[#This Row],[Actual_Cost]],Details[[#This Row],[Profit]])</f>
        <v>104</v>
      </c>
      <c r="F705">
        <v>3</v>
      </c>
      <c r="G705">
        <f>PRODUCT(Details[[#This Row],[Selling_Cost]],Details[[#This Row],[Quantity]])</f>
        <v>312</v>
      </c>
      <c r="H705" t="s">
        <v>8</v>
      </c>
      <c r="I705" t="s">
        <v>48</v>
      </c>
      <c r="J705" t="s">
        <v>18</v>
      </c>
      <c r="K705" t="s">
        <v>569</v>
      </c>
      <c r="L705" t="s">
        <v>567</v>
      </c>
    </row>
    <row r="706" spans="1:12" x14ac:dyDescent="0.3">
      <c r="A706" t="s">
        <v>378</v>
      </c>
      <c r="B706">
        <v>31</v>
      </c>
      <c r="C706">
        <v>14</v>
      </c>
      <c r="D706">
        <v>93</v>
      </c>
      <c r="E706">
        <f>SUM(Details[[#This Row],[Actual_Cost]],Details[[#This Row],[Profit]])</f>
        <v>107</v>
      </c>
      <c r="F706">
        <v>3</v>
      </c>
      <c r="G706">
        <f>PRODUCT(Details[[#This Row],[Selling_Cost]],Details[[#This Row],[Quantity]])</f>
        <v>321</v>
      </c>
      <c r="H706" t="s">
        <v>8</v>
      </c>
      <c r="I706" t="s">
        <v>29</v>
      </c>
      <c r="J706" t="s">
        <v>18</v>
      </c>
      <c r="K706" t="s">
        <v>711</v>
      </c>
      <c r="L706" t="s">
        <v>567</v>
      </c>
    </row>
    <row r="707" spans="1:12" x14ac:dyDescent="0.3">
      <c r="A707" t="s">
        <v>379</v>
      </c>
      <c r="B707">
        <v>44</v>
      </c>
      <c r="C707">
        <v>14</v>
      </c>
      <c r="D707">
        <v>132</v>
      </c>
      <c r="E707">
        <f>SUM(Details[[#This Row],[Actual_Cost]],Details[[#This Row],[Profit]])</f>
        <v>146</v>
      </c>
      <c r="F707">
        <v>3</v>
      </c>
      <c r="G707">
        <f>PRODUCT(Details[[#This Row],[Selling_Cost]],Details[[#This Row],[Quantity]])</f>
        <v>438</v>
      </c>
      <c r="H707" t="s">
        <v>8</v>
      </c>
      <c r="I707" t="s">
        <v>48</v>
      </c>
      <c r="J707" t="s">
        <v>10</v>
      </c>
      <c r="K707" t="s">
        <v>552</v>
      </c>
      <c r="L707" t="s">
        <v>546</v>
      </c>
    </row>
    <row r="708" spans="1:12" x14ac:dyDescent="0.3">
      <c r="A708" t="s">
        <v>100</v>
      </c>
      <c r="B708">
        <v>44</v>
      </c>
      <c r="C708">
        <v>14</v>
      </c>
      <c r="D708">
        <v>132</v>
      </c>
      <c r="E708">
        <f>SUM(Details[[#This Row],[Actual_Cost]],Details[[#This Row],[Profit]])</f>
        <v>146</v>
      </c>
      <c r="F708">
        <v>3</v>
      </c>
      <c r="G708">
        <f>PRODUCT(Details[[#This Row],[Selling_Cost]],Details[[#This Row],[Quantity]])</f>
        <v>438</v>
      </c>
      <c r="H708" t="s">
        <v>8</v>
      </c>
      <c r="I708" t="s">
        <v>48</v>
      </c>
      <c r="J708" t="s">
        <v>27</v>
      </c>
      <c r="K708" t="s">
        <v>543</v>
      </c>
      <c r="L708" t="s">
        <v>544</v>
      </c>
    </row>
    <row r="709" spans="1:12" x14ac:dyDescent="0.3">
      <c r="A709" t="s">
        <v>237</v>
      </c>
      <c r="B709">
        <v>44</v>
      </c>
      <c r="C709">
        <v>14</v>
      </c>
      <c r="D709">
        <v>132</v>
      </c>
      <c r="E709">
        <f>SUM(Details[[#This Row],[Actual_Cost]],Details[[#This Row],[Profit]])</f>
        <v>146</v>
      </c>
      <c r="F709">
        <v>3</v>
      </c>
      <c r="G709">
        <f>PRODUCT(Details[[#This Row],[Selling_Cost]],Details[[#This Row],[Quantity]])</f>
        <v>438</v>
      </c>
      <c r="H709" t="s">
        <v>8</v>
      </c>
      <c r="I709" t="s">
        <v>48</v>
      </c>
      <c r="J709" t="s">
        <v>42</v>
      </c>
      <c r="K709" t="s">
        <v>539</v>
      </c>
      <c r="L709" t="s">
        <v>567</v>
      </c>
    </row>
    <row r="710" spans="1:12" x14ac:dyDescent="0.3">
      <c r="A710" t="s">
        <v>233</v>
      </c>
      <c r="B710">
        <v>54</v>
      </c>
      <c r="C710">
        <v>14</v>
      </c>
      <c r="D710">
        <v>162</v>
      </c>
      <c r="E710">
        <f>SUM(Details[[#This Row],[Actual_Cost]],Details[[#This Row],[Profit]])</f>
        <v>176</v>
      </c>
      <c r="F710">
        <v>3</v>
      </c>
      <c r="G710">
        <f>PRODUCT(Details[[#This Row],[Selling_Cost]],Details[[#This Row],[Quantity]])</f>
        <v>528</v>
      </c>
      <c r="H710" t="s">
        <v>8</v>
      </c>
      <c r="I710" t="s">
        <v>46</v>
      </c>
      <c r="J710" t="s">
        <v>18</v>
      </c>
      <c r="K710" t="s">
        <v>548</v>
      </c>
      <c r="L710" t="s">
        <v>546</v>
      </c>
    </row>
    <row r="711" spans="1:12" x14ac:dyDescent="0.3">
      <c r="A711" t="s">
        <v>380</v>
      </c>
      <c r="B711">
        <v>117</v>
      </c>
      <c r="C711">
        <v>14</v>
      </c>
      <c r="D711">
        <v>351</v>
      </c>
      <c r="E711">
        <f>SUM(Details[[#This Row],[Actual_Cost]],Details[[#This Row],[Profit]])</f>
        <v>365</v>
      </c>
      <c r="F711">
        <v>3</v>
      </c>
      <c r="G711">
        <f>PRODUCT(Details[[#This Row],[Selling_Cost]],Details[[#This Row],[Quantity]])</f>
        <v>1095</v>
      </c>
      <c r="H711" t="s">
        <v>8</v>
      </c>
      <c r="I711" t="s">
        <v>61</v>
      </c>
      <c r="J711" t="s">
        <v>18</v>
      </c>
      <c r="K711" t="s">
        <v>552</v>
      </c>
      <c r="L711" t="s">
        <v>565</v>
      </c>
    </row>
    <row r="712" spans="1:12" x14ac:dyDescent="0.3">
      <c r="A712" t="s">
        <v>97</v>
      </c>
      <c r="B712">
        <v>139</v>
      </c>
      <c r="C712">
        <v>14</v>
      </c>
      <c r="D712">
        <v>417</v>
      </c>
      <c r="E712">
        <f>SUM(Details[[#This Row],[Actual_Cost]],Details[[#This Row],[Profit]])</f>
        <v>431</v>
      </c>
      <c r="F712">
        <v>3</v>
      </c>
      <c r="G712">
        <f>PRODUCT(Details[[#This Row],[Selling_Cost]],Details[[#This Row],[Quantity]])</f>
        <v>1293</v>
      </c>
      <c r="H712" t="s">
        <v>8</v>
      </c>
      <c r="I712" t="s">
        <v>44</v>
      </c>
      <c r="J712" t="s">
        <v>10</v>
      </c>
      <c r="K712" t="s">
        <v>661</v>
      </c>
      <c r="L712" t="s">
        <v>541</v>
      </c>
    </row>
    <row r="713" spans="1:12" x14ac:dyDescent="0.3">
      <c r="A713" t="s">
        <v>381</v>
      </c>
      <c r="B713">
        <v>139</v>
      </c>
      <c r="C713">
        <v>14</v>
      </c>
      <c r="D713">
        <v>417</v>
      </c>
      <c r="E713">
        <f>SUM(Details[[#This Row],[Actual_Cost]],Details[[#This Row],[Profit]])</f>
        <v>431</v>
      </c>
      <c r="F713">
        <v>3</v>
      </c>
      <c r="G713">
        <f>PRODUCT(Details[[#This Row],[Selling_Cost]],Details[[#This Row],[Quantity]])</f>
        <v>1293</v>
      </c>
      <c r="H713" t="s">
        <v>8</v>
      </c>
      <c r="I713" t="s">
        <v>29</v>
      </c>
      <c r="J713" t="s">
        <v>10</v>
      </c>
      <c r="K713" t="s">
        <v>552</v>
      </c>
      <c r="L713" t="s">
        <v>554</v>
      </c>
    </row>
    <row r="714" spans="1:12" x14ac:dyDescent="0.3">
      <c r="A714" t="s">
        <v>119</v>
      </c>
      <c r="B714">
        <v>1228</v>
      </c>
      <c r="C714">
        <v>14</v>
      </c>
      <c r="D714">
        <v>3684</v>
      </c>
      <c r="E714">
        <f>SUM(Details[[#This Row],[Actual_Cost]],Details[[#This Row],[Profit]])</f>
        <v>3698</v>
      </c>
      <c r="F714">
        <v>3</v>
      </c>
      <c r="G714">
        <f>PRODUCT(Details[[#This Row],[Selling_Cost]],Details[[#This Row],[Quantity]])</f>
        <v>11094</v>
      </c>
      <c r="H714" t="s">
        <v>16</v>
      </c>
      <c r="I714" t="s">
        <v>23</v>
      </c>
      <c r="J714" t="s">
        <v>18</v>
      </c>
      <c r="K714" t="s">
        <v>548</v>
      </c>
      <c r="L714" t="s">
        <v>550</v>
      </c>
    </row>
    <row r="715" spans="1:12" x14ac:dyDescent="0.3">
      <c r="A715" t="s">
        <v>382</v>
      </c>
      <c r="B715">
        <v>36</v>
      </c>
      <c r="C715">
        <v>15</v>
      </c>
      <c r="D715">
        <v>108</v>
      </c>
      <c r="E715">
        <f>SUM(Details[[#This Row],[Actual_Cost]],Details[[#This Row],[Profit]])</f>
        <v>123</v>
      </c>
      <c r="F715">
        <v>3</v>
      </c>
      <c r="G715">
        <f>PRODUCT(Details[[#This Row],[Selling_Cost]],Details[[#This Row],[Quantity]])</f>
        <v>369</v>
      </c>
      <c r="H715" t="s">
        <v>8</v>
      </c>
      <c r="I715" t="s">
        <v>29</v>
      </c>
      <c r="J715" t="s">
        <v>18</v>
      </c>
      <c r="K715" t="s">
        <v>581</v>
      </c>
      <c r="L715" t="s">
        <v>544</v>
      </c>
    </row>
    <row r="716" spans="1:12" x14ac:dyDescent="0.3">
      <c r="A716" t="s">
        <v>116</v>
      </c>
      <c r="B716">
        <v>122</v>
      </c>
      <c r="C716">
        <v>15</v>
      </c>
      <c r="D716">
        <v>366</v>
      </c>
      <c r="E716">
        <f>SUM(Details[[#This Row],[Actual_Cost]],Details[[#This Row],[Profit]])</f>
        <v>381</v>
      </c>
      <c r="F716">
        <v>3</v>
      </c>
      <c r="G716">
        <f>PRODUCT(Details[[#This Row],[Selling_Cost]],Details[[#This Row],[Quantity]])</f>
        <v>1143</v>
      </c>
      <c r="H716" t="s">
        <v>13</v>
      </c>
      <c r="I716" t="s">
        <v>55</v>
      </c>
      <c r="J716" t="s">
        <v>125</v>
      </c>
      <c r="K716" t="s">
        <v>578</v>
      </c>
      <c r="L716" t="s">
        <v>546</v>
      </c>
    </row>
    <row r="717" spans="1:12" x14ac:dyDescent="0.3">
      <c r="A717" t="s">
        <v>375</v>
      </c>
      <c r="B717">
        <v>149</v>
      </c>
      <c r="C717">
        <v>15</v>
      </c>
      <c r="D717">
        <v>447</v>
      </c>
      <c r="E717">
        <f>SUM(Details[[#This Row],[Actual_Cost]],Details[[#This Row],[Profit]])</f>
        <v>462</v>
      </c>
      <c r="F717">
        <v>3</v>
      </c>
      <c r="G717">
        <f>PRODUCT(Details[[#This Row],[Selling_Cost]],Details[[#This Row],[Quantity]])</f>
        <v>1386</v>
      </c>
      <c r="H717" t="s">
        <v>8</v>
      </c>
      <c r="I717" t="s">
        <v>9</v>
      </c>
      <c r="J717" t="s">
        <v>125</v>
      </c>
      <c r="K717" t="s">
        <v>539</v>
      </c>
      <c r="L717" t="s">
        <v>550</v>
      </c>
    </row>
    <row r="718" spans="1:12" x14ac:dyDescent="0.3">
      <c r="A718" t="s">
        <v>383</v>
      </c>
      <c r="B718">
        <v>149</v>
      </c>
      <c r="C718">
        <v>15</v>
      </c>
      <c r="D718">
        <v>447</v>
      </c>
      <c r="E718">
        <f>SUM(Details[[#This Row],[Actual_Cost]],Details[[#This Row],[Profit]])</f>
        <v>462</v>
      </c>
      <c r="F718">
        <v>3</v>
      </c>
      <c r="G718">
        <f>PRODUCT(Details[[#This Row],[Selling_Cost]],Details[[#This Row],[Quantity]])</f>
        <v>1386</v>
      </c>
      <c r="H718" t="s">
        <v>8</v>
      </c>
      <c r="I718" t="s">
        <v>9</v>
      </c>
      <c r="J718" t="s">
        <v>42</v>
      </c>
      <c r="K718" t="s">
        <v>569</v>
      </c>
      <c r="L718" t="s">
        <v>546</v>
      </c>
    </row>
    <row r="719" spans="1:12" x14ac:dyDescent="0.3">
      <c r="A719" t="s">
        <v>384</v>
      </c>
      <c r="B719">
        <v>369</v>
      </c>
      <c r="C719">
        <v>15</v>
      </c>
      <c r="D719">
        <v>1107</v>
      </c>
      <c r="E719">
        <f>SUM(Details[[#This Row],[Actual_Cost]],Details[[#This Row],[Profit]])</f>
        <v>1122</v>
      </c>
      <c r="F719">
        <v>3</v>
      </c>
      <c r="G719">
        <f>PRODUCT(Details[[#This Row],[Selling_Cost]],Details[[#This Row],[Quantity]])</f>
        <v>3366</v>
      </c>
      <c r="H719" t="s">
        <v>13</v>
      </c>
      <c r="I719" t="s">
        <v>34</v>
      </c>
      <c r="J719" t="s">
        <v>42</v>
      </c>
      <c r="K719" t="s">
        <v>641</v>
      </c>
      <c r="L719" t="s">
        <v>544</v>
      </c>
    </row>
    <row r="720" spans="1:12" x14ac:dyDescent="0.3">
      <c r="A720" t="s">
        <v>228</v>
      </c>
      <c r="B720">
        <v>40</v>
      </c>
      <c r="C720">
        <v>16</v>
      </c>
      <c r="D720">
        <v>120</v>
      </c>
      <c r="E720">
        <f>SUM(Details[[#This Row],[Actual_Cost]],Details[[#This Row],[Profit]])</f>
        <v>136</v>
      </c>
      <c r="F720">
        <v>3</v>
      </c>
      <c r="G720">
        <f>PRODUCT(Details[[#This Row],[Selling_Cost]],Details[[#This Row],[Quantity]])</f>
        <v>408</v>
      </c>
      <c r="H720" t="s">
        <v>8</v>
      </c>
      <c r="I720" t="s">
        <v>48</v>
      </c>
      <c r="J720" t="s">
        <v>42</v>
      </c>
      <c r="K720" t="s">
        <v>596</v>
      </c>
      <c r="L720" t="s">
        <v>565</v>
      </c>
    </row>
    <row r="721" spans="1:12" x14ac:dyDescent="0.3">
      <c r="A721" t="s">
        <v>318</v>
      </c>
      <c r="B721">
        <v>40</v>
      </c>
      <c r="C721">
        <v>16</v>
      </c>
      <c r="D721">
        <v>120</v>
      </c>
      <c r="E721">
        <f>SUM(Details[[#This Row],[Actual_Cost]],Details[[#This Row],[Profit]])</f>
        <v>136</v>
      </c>
      <c r="F721">
        <v>3</v>
      </c>
      <c r="G721">
        <f>PRODUCT(Details[[#This Row],[Selling_Cost]],Details[[#This Row],[Quantity]])</f>
        <v>408</v>
      </c>
      <c r="H721" t="s">
        <v>8</v>
      </c>
      <c r="I721" t="s">
        <v>48</v>
      </c>
      <c r="J721" t="s">
        <v>10</v>
      </c>
      <c r="K721" t="s">
        <v>548</v>
      </c>
      <c r="L721" t="s">
        <v>567</v>
      </c>
    </row>
    <row r="722" spans="1:12" x14ac:dyDescent="0.3">
      <c r="A722" t="s">
        <v>385</v>
      </c>
      <c r="B722">
        <v>45</v>
      </c>
      <c r="C722">
        <v>16</v>
      </c>
      <c r="D722">
        <v>135</v>
      </c>
      <c r="E722">
        <f>SUM(Details[[#This Row],[Actual_Cost]],Details[[#This Row],[Profit]])</f>
        <v>151</v>
      </c>
      <c r="F722">
        <v>3</v>
      </c>
      <c r="G722">
        <f>PRODUCT(Details[[#This Row],[Selling_Cost]],Details[[#This Row],[Quantity]])</f>
        <v>453</v>
      </c>
      <c r="H722" t="s">
        <v>8</v>
      </c>
      <c r="I722" t="s">
        <v>29</v>
      </c>
      <c r="J722" t="s">
        <v>10</v>
      </c>
      <c r="K722" t="s">
        <v>552</v>
      </c>
      <c r="L722" t="s">
        <v>563</v>
      </c>
    </row>
    <row r="723" spans="1:12" x14ac:dyDescent="0.3">
      <c r="A723" t="s">
        <v>354</v>
      </c>
      <c r="B723">
        <v>48</v>
      </c>
      <c r="C723">
        <v>16</v>
      </c>
      <c r="D723">
        <v>144</v>
      </c>
      <c r="E723">
        <f>SUM(Details[[#This Row],[Actual_Cost]],Details[[#This Row],[Profit]])</f>
        <v>160</v>
      </c>
      <c r="F723">
        <v>3</v>
      </c>
      <c r="G723">
        <f>PRODUCT(Details[[#This Row],[Selling_Cost]],Details[[#This Row],[Quantity]])</f>
        <v>480</v>
      </c>
      <c r="H723" t="s">
        <v>8</v>
      </c>
      <c r="I723" t="s">
        <v>61</v>
      </c>
      <c r="J723" t="s">
        <v>10</v>
      </c>
      <c r="K723" t="s">
        <v>569</v>
      </c>
      <c r="L723" t="s">
        <v>546</v>
      </c>
    </row>
    <row r="724" spans="1:12" x14ac:dyDescent="0.3">
      <c r="A724" t="s">
        <v>226</v>
      </c>
      <c r="B724">
        <v>79</v>
      </c>
      <c r="C724">
        <v>16</v>
      </c>
      <c r="D724">
        <v>237</v>
      </c>
      <c r="E724">
        <f>SUM(Details[[#This Row],[Actual_Cost]],Details[[#This Row],[Profit]])</f>
        <v>253</v>
      </c>
      <c r="F724">
        <v>3</v>
      </c>
      <c r="G724">
        <f>PRODUCT(Details[[#This Row],[Selling_Cost]],Details[[#This Row],[Quantity]])</f>
        <v>759</v>
      </c>
      <c r="H724" t="s">
        <v>8</v>
      </c>
      <c r="I724" t="s">
        <v>46</v>
      </c>
      <c r="J724" t="s">
        <v>10</v>
      </c>
      <c r="K724" t="s">
        <v>552</v>
      </c>
      <c r="L724" t="s">
        <v>544</v>
      </c>
    </row>
    <row r="725" spans="1:12" x14ac:dyDescent="0.3">
      <c r="A725" t="s">
        <v>127</v>
      </c>
      <c r="B725">
        <v>145</v>
      </c>
      <c r="C725">
        <v>16</v>
      </c>
      <c r="D725">
        <v>435</v>
      </c>
      <c r="E725">
        <f>SUM(Details[[#This Row],[Actual_Cost]],Details[[#This Row],[Profit]])</f>
        <v>451</v>
      </c>
      <c r="F725">
        <v>3</v>
      </c>
      <c r="G725">
        <f>PRODUCT(Details[[#This Row],[Selling_Cost]],Details[[#This Row],[Quantity]])</f>
        <v>1353</v>
      </c>
      <c r="H725" t="s">
        <v>8</v>
      </c>
      <c r="I725" t="s">
        <v>46</v>
      </c>
      <c r="J725" t="s">
        <v>42</v>
      </c>
      <c r="K725" t="s">
        <v>578</v>
      </c>
      <c r="L725" t="s">
        <v>541</v>
      </c>
    </row>
    <row r="726" spans="1:12" x14ac:dyDescent="0.3">
      <c r="A726" t="s">
        <v>371</v>
      </c>
      <c r="B726">
        <v>37</v>
      </c>
      <c r="C726">
        <v>17</v>
      </c>
      <c r="D726">
        <v>111</v>
      </c>
      <c r="E726">
        <f>SUM(Details[[#This Row],[Actual_Cost]],Details[[#This Row],[Profit]])</f>
        <v>128</v>
      </c>
      <c r="F726">
        <v>3</v>
      </c>
      <c r="G726">
        <f>PRODUCT(Details[[#This Row],[Selling_Cost]],Details[[#This Row],[Quantity]])</f>
        <v>384</v>
      </c>
      <c r="H726" t="s">
        <v>8</v>
      </c>
      <c r="I726" t="s">
        <v>48</v>
      </c>
      <c r="J726" t="s">
        <v>42</v>
      </c>
      <c r="K726" t="s">
        <v>552</v>
      </c>
      <c r="L726" t="s">
        <v>541</v>
      </c>
    </row>
    <row r="727" spans="1:12" x14ac:dyDescent="0.3">
      <c r="A727" t="s">
        <v>194</v>
      </c>
      <c r="B727">
        <v>37</v>
      </c>
      <c r="C727">
        <v>17</v>
      </c>
      <c r="D727">
        <v>111</v>
      </c>
      <c r="E727">
        <f>SUM(Details[[#This Row],[Actual_Cost]],Details[[#This Row],[Profit]])</f>
        <v>128</v>
      </c>
      <c r="F727">
        <v>3</v>
      </c>
      <c r="G727">
        <f>PRODUCT(Details[[#This Row],[Selling_Cost]],Details[[#This Row],[Quantity]])</f>
        <v>384</v>
      </c>
      <c r="H727" t="s">
        <v>8</v>
      </c>
      <c r="I727" t="s">
        <v>48</v>
      </c>
      <c r="J727" t="s">
        <v>42</v>
      </c>
      <c r="K727" t="s">
        <v>552</v>
      </c>
      <c r="L727" t="s">
        <v>550</v>
      </c>
    </row>
    <row r="728" spans="1:12" x14ac:dyDescent="0.3">
      <c r="A728" t="s">
        <v>176</v>
      </c>
      <c r="B728">
        <v>90</v>
      </c>
      <c r="C728">
        <v>17</v>
      </c>
      <c r="D728">
        <v>270</v>
      </c>
      <c r="E728">
        <f>SUM(Details[[#This Row],[Actual_Cost]],Details[[#This Row],[Profit]])</f>
        <v>287</v>
      </c>
      <c r="F728">
        <v>3</v>
      </c>
      <c r="G728">
        <f>PRODUCT(Details[[#This Row],[Selling_Cost]],Details[[#This Row],[Quantity]])</f>
        <v>861</v>
      </c>
      <c r="H728" t="s">
        <v>8</v>
      </c>
      <c r="I728" t="s">
        <v>61</v>
      </c>
      <c r="J728" t="s">
        <v>10</v>
      </c>
      <c r="K728" t="s">
        <v>539</v>
      </c>
      <c r="L728" t="s">
        <v>614</v>
      </c>
    </row>
    <row r="729" spans="1:12" x14ac:dyDescent="0.3">
      <c r="A729" t="s">
        <v>139</v>
      </c>
      <c r="B729">
        <v>90</v>
      </c>
      <c r="C729">
        <v>17</v>
      </c>
      <c r="D729">
        <v>270</v>
      </c>
      <c r="E729">
        <f>SUM(Details[[#This Row],[Actual_Cost]],Details[[#This Row],[Profit]])</f>
        <v>287</v>
      </c>
      <c r="F729">
        <v>3</v>
      </c>
      <c r="G729">
        <f>PRODUCT(Details[[#This Row],[Selling_Cost]],Details[[#This Row],[Quantity]])</f>
        <v>861</v>
      </c>
      <c r="H729" t="s">
        <v>8</v>
      </c>
      <c r="I729" t="s">
        <v>48</v>
      </c>
      <c r="J729" t="s">
        <v>10</v>
      </c>
      <c r="K729" t="s">
        <v>552</v>
      </c>
      <c r="L729" t="s">
        <v>567</v>
      </c>
    </row>
    <row r="730" spans="1:12" x14ac:dyDescent="0.3">
      <c r="A730" t="s">
        <v>386</v>
      </c>
      <c r="B730">
        <v>123</v>
      </c>
      <c r="C730">
        <v>17</v>
      </c>
      <c r="D730">
        <v>369</v>
      </c>
      <c r="E730">
        <f>SUM(Details[[#This Row],[Actual_Cost]],Details[[#This Row],[Profit]])</f>
        <v>386</v>
      </c>
      <c r="F730">
        <v>3</v>
      </c>
      <c r="G730">
        <f>PRODUCT(Details[[#This Row],[Selling_Cost]],Details[[#This Row],[Quantity]])</f>
        <v>1158</v>
      </c>
      <c r="H730" t="s">
        <v>16</v>
      </c>
      <c r="I730" t="s">
        <v>32</v>
      </c>
      <c r="J730" t="s">
        <v>10</v>
      </c>
      <c r="K730" t="s">
        <v>581</v>
      </c>
      <c r="L730" t="s">
        <v>624</v>
      </c>
    </row>
    <row r="731" spans="1:12" x14ac:dyDescent="0.3">
      <c r="A731" t="s">
        <v>232</v>
      </c>
      <c r="B731">
        <v>429</v>
      </c>
      <c r="C731">
        <v>17</v>
      </c>
      <c r="D731">
        <v>1287</v>
      </c>
      <c r="E731">
        <f>SUM(Details[[#This Row],[Actual_Cost]],Details[[#This Row],[Profit]])</f>
        <v>1304</v>
      </c>
      <c r="F731">
        <v>3</v>
      </c>
      <c r="G731">
        <f>PRODUCT(Details[[#This Row],[Selling_Cost]],Details[[#This Row],[Quantity]])</f>
        <v>3912</v>
      </c>
      <c r="H731" t="s">
        <v>16</v>
      </c>
      <c r="I731" t="s">
        <v>23</v>
      </c>
      <c r="J731" t="s">
        <v>18</v>
      </c>
      <c r="K731" t="s">
        <v>552</v>
      </c>
      <c r="L731" t="s">
        <v>546</v>
      </c>
    </row>
    <row r="732" spans="1:12" x14ac:dyDescent="0.3">
      <c r="A732" t="s">
        <v>293</v>
      </c>
      <c r="B732">
        <v>71</v>
      </c>
      <c r="C732">
        <v>19</v>
      </c>
      <c r="D732">
        <v>213</v>
      </c>
      <c r="E732">
        <f>SUM(Details[[#This Row],[Actual_Cost]],Details[[#This Row],[Profit]])</f>
        <v>232</v>
      </c>
      <c r="F732">
        <v>3</v>
      </c>
      <c r="G732">
        <f>PRODUCT(Details[[#This Row],[Selling_Cost]],Details[[#This Row],[Quantity]])</f>
        <v>696</v>
      </c>
      <c r="H732" t="s">
        <v>8</v>
      </c>
      <c r="I732" t="s">
        <v>46</v>
      </c>
      <c r="J732" t="s">
        <v>10</v>
      </c>
      <c r="K732" t="s">
        <v>543</v>
      </c>
      <c r="L732" t="s">
        <v>544</v>
      </c>
    </row>
    <row r="733" spans="1:12" x14ac:dyDescent="0.3">
      <c r="A733" t="s">
        <v>318</v>
      </c>
      <c r="B733">
        <v>76</v>
      </c>
      <c r="C733">
        <v>19</v>
      </c>
      <c r="D733">
        <v>228</v>
      </c>
      <c r="E733">
        <f>SUM(Details[[#This Row],[Actual_Cost]],Details[[#This Row],[Profit]])</f>
        <v>247</v>
      </c>
      <c r="F733">
        <v>3</v>
      </c>
      <c r="G733">
        <f>PRODUCT(Details[[#This Row],[Selling_Cost]],Details[[#This Row],[Quantity]])</f>
        <v>741</v>
      </c>
      <c r="H733" t="s">
        <v>8</v>
      </c>
      <c r="I733" t="s">
        <v>48</v>
      </c>
      <c r="J733" t="s">
        <v>10</v>
      </c>
      <c r="K733" t="s">
        <v>548</v>
      </c>
      <c r="L733" t="s">
        <v>567</v>
      </c>
    </row>
    <row r="734" spans="1:12" x14ac:dyDescent="0.3">
      <c r="A734" t="s">
        <v>387</v>
      </c>
      <c r="B734">
        <v>162</v>
      </c>
      <c r="C734">
        <v>20</v>
      </c>
      <c r="D734">
        <v>486</v>
      </c>
      <c r="E734">
        <f>SUM(Details[[#This Row],[Actual_Cost]],Details[[#This Row],[Profit]])</f>
        <v>506</v>
      </c>
      <c r="F734">
        <v>3</v>
      </c>
      <c r="G734">
        <f>PRODUCT(Details[[#This Row],[Selling_Cost]],Details[[#This Row],[Quantity]])</f>
        <v>1518</v>
      </c>
      <c r="H734" t="s">
        <v>16</v>
      </c>
      <c r="I734" t="s">
        <v>23</v>
      </c>
      <c r="J734" t="s">
        <v>125</v>
      </c>
      <c r="K734" t="s">
        <v>596</v>
      </c>
      <c r="L734" t="s">
        <v>546</v>
      </c>
    </row>
    <row r="735" spans="1:12" x14ac:dyDescent="0.3">
      <c r="A735" t="s">
        <v>43</v>
      </c>
      <c r="B735">
        <v>43</v>
      </c>
      <c r="C735">
        <v>21</v>
      </c>
      <c r="D735">
        <v>129</v>
      </c>
      <c r="E735">
        <f>SUM(Details[[#This Row],[Actual_Cost]],Details[[#This Row],[Profit]])</f>
        <v>150</v>
      </c>
      <c r="F735">
        <v>3</v>
      </c>
      <c r="G735">
        <f>PRODUCT(Details[[#This Row],[Selling_Cost]],Details[[#This Row],[Quantity]])</f>
        <v>450</v>
      </c>
      <c r="H735" t="s">
        <v>8</v>
      </c>
      <c r="I735" t="s">
        <v>61</v>
      </c>
      <c r="J735" t="s">
        <v>10</v>
      </c>
      <c r="K735" t="s">
        <v>548</v>
      </c>
      <c r="L735" t="s">
        <v>554</v>
      </c>
    </row>
    <row r="736" spans="1:12" x14ac:dyDescent="0.3">
      <c r="A736" t="s">
        <v>108</v>
      </c>
      <c r="B736">
        <v>51</v>
      </c>
      <c r="C736">
        <v>21</v>
      </c>
      <c r="D736">
        <v>153</v>
      </c>
      <c r="E736">
        <f>SUM(Details[[#This Row],[Actual_Cost]],Details[[#This Row],[Profit]])</f>
        <v>174</v>
      </c>
      <c r="F736">
        <v>3</v>
      </c>
      <c r="G736">
        <f>PRODUCT(Details[[#This Row],[Selling_Cost]],Details[[#This Row],[Quantity]])</f>
        <v>522</v>
      </c>
      <c r="H736" t="s">
        <v>8</v>
      </c>
      <c r="I736" t="s">
        <v>46</v>
      </c>
      <c r="J736" t="s">
        <v>10</v>
      </c>
      <c r="K736" t="s">
        <v>548</v>
      </c>
      <c r="L736" t="s">
        <v>585</v>
      </c>
    </row>
    <row r="737" spans="1:12" x14ac:dyDescent="0.3">
      <c r="A737" t="s">
        <v>148</v>
      </c>
      <c r="B737">
        <v>139</v>
      </c>
      <c r="C737">
        <v>21</v>
      </c>
      <c r="D737">
        <v>417</v>
      </c>
      <c r="E737">
        <f>SUM(Details[[#This Row],[Actual_Cost]],Details[[#This Row],[Profit]])</f>
        <v>438</v>
      </c>
      <c r="F737">
        <v>3</v>
      </c>
      <c r="G737">
        <f>PRODUCT(Details[[#This Row],[Selling_Cost]],Details[[#This Row],[Quantity]])</f>
        <v>1314</v>
      </c>
      <c r="H737" t="s">
        <v>13</v>
      </c>
      <c r="I737" t="s">
        <v>55</v>
      </c>
      <c r="J737" t="s">
        <v>10</v>
      </c>
      <c r="K737" t="s">
        <v>548</v>
      </c>
      <c r="L737" t="s">
        <v>541</v>
      </c>
    </row>
    <row r="738" spans="1:12" x14ac:dyDescent="0.3">
      <c r="A738" t="s">
        <v>249</v>
      </c>
      <c r="B738">
        <v>147</v>
      </c>
      <c r="C738">
        <v>21</v>
      </c>
      <c r="D738">
        <v>441</v>
      </c>
      <c r="E738">
        <f>SUM(Details[[#This Row],[Actual_Cost]],Details[[#This Row],[Profit]])</f>
        <v>462</v>
      </c>
      <c r="F738">
        <v>3</v>
      </c>
      <c r="G738">
        <f>PRODUCT(Details[[#This Row],[Selling_Cost]],Details[[#This Row],[Quantity]])</f>
        <v>1386</v>
      </c>
      <c r="H738" t="s">
        <v>16</v>
      </c>
      <c r="I738" t="s">
        <v>32</v>
      </c>
      <c r="J738" t="s">
        <v>42</v>
      </c>
      <c r="K738" t="s">
        <v>581</v>
      </c>
      <c r="L738" t="s">
        <v>567</v>
      </c>
    </row>
    <row r="739" spans="1:12" x14ac:dyDescent="0.3">
      <c r="A739" t="s">
        <v>388</v>
      </c>
      <c r="B739">
        <v>156</v>
      </c>
      <c r="C739">
        <v>21</v>
      </c>
      <c r="D739">
        <v>468</v>
      </c>
      <c r="E739">
        <f>SUM(Details[[#This Row],[Actual_Cost]],Details[[#This Row],[Profit]])</f>
        <v>489</v>
      </c>
      <c r="F739">
        <v>3</v>
      </c>
      <c r="G739">
        <f>PRODUCT(Details[[#This Row],[Selling_Cost]],Details[[#This Row],[Quantity]])</f>
        <v>1467</v>
      </c>
      <c r="H739" t="s">
        <v>16</v>
      </c>
      <c r="I739" t="s">
        <v>23</v>
      </c>
      <c r="J739" t="s">
        <v>10</v>
      </c>
      <c r="K739" t="s">
        <v>552</v>
      </c>
      <c r="L739" t="s">
        <v>563</v>
      </c>
    </row>
    <row r="740" spans="1:12" x14ac:dyDescent="0.3">
      <c r="A740" t="s">
        <v>285</v>
      </c>
      <c r="B740">
        <v>66</v>
      </c>
      <c r="C740">
        <v>22</v>
      </c>
      <c r="D740">
        <v>198</v>
      </c>
      <c r="E740">
        <f>SUM(Details[[#This Row],[Actual_Cost]],Details[[#This Row],[Profit]])</f>
        <v>220</v>
      </c>
      <c r="F740">
        <v>3</v>
      </c>
      <c r="G740">
        <f>PRODUCT(Details[[#This Row],[Selling_Cost]],Details[[#This Row],[Quantity]])</f>
        <v>660</v>
      </c>
      <c r="H740" t="s">
        <v>8</v>
      </c>
      <c r="I740" t="s">
        <v>29</v>
      </c>
      <c r="J740" t="s">
        <v>18</v>
      </c>
      <c r="K740" t="s">
        <v>605</v>
      </c>
      <c r="L740" t="s">
        <v>544</v>
      </c>
    </row>
    <row r="741" spans="1:12" x14ac:dyDescent="0.3">
      <c r="A741" t="s">
        <v>314</v>
      </c>
      <c r="B741">
        <v>80</v>
      </c>
      <c r="C741">
        <v>22</v>
      </c>
      <c r="D741">
        <v>240</v>
      </c>
      <c r="E741">
        <f>SUM(Details[[#This Row],[Actual_Cost]],Details[[#This Row],[Profit]])</f>
        <v>262</v>
      </c>
      <c r="F741">
        <v>3</v>
      </c>
      <c r="G741">
        <f>PRODUCT(Details[[#This Row],[Selling_Cost]],Details[[#This Row],[Quantity]])</f>
        <v>786</v>
      </c>
      <c r="H741" t="s">
        <v>8</v>
      </c>
      <c r="I741" t="s">
        <v>29</v>
      </c>
      <c r="J741" t="s">
        <v>18</v>
      </c>
      <c r="K741" t="s">
        <v>632</v>
      </c>
      <c r="L741" t="s">
        <v>541</v>
      </c>
    </row>
    <row r="742" spans="1:12" x14ac:dyDescent="0.3">
      <c r="A742" t="s">
        <v>293</v>
      </c>
      <c r="B742">
        <v>80</v>
      </c>
      <c r="C742">
        <v>22</v>
      </c>
      <c r="D742">
        <v>240</v>
      </c>
      <c r="E742">
        <f>SUM(Details[[#This Row],[Actual_Cost]],Details[[#This Row],[Profit]])</f>
        <v>262</v>
      </c>
      <c r="F742">
        <v>3</v>
      </c>
      <c r="G742">
        <f>PRODUCT(Details[[#This Row],[Selling_Cost]],Details[[#This Row],[Quantity]])</f>
        <v>786</v>
      </c>
      <c r="H742" t="s">
        <v>8</v>
      </c>
      <c r="I742" t="s">
        <v>29</v>
      </c>
      <c r="J742" t="s">
        <v>42</v>
      </c>
      <c r="K742" t="s">
        <v>543</v>
      </c>
      <c r="L742" t="s">
        <v>544</v>
      </c>
    </row>
    <row r="743" spans="1:12" x14ac:dyDescent="0.3">
      <c r="A743" t="s">
        <v>389</v>
      </c>
      <c r="B743">
        <v>80</v>
      </c>
      <c r="C743">
        <v>22</v>
      </c>
      <c r="D743">
        <v>240</v>
      </c>
      <c r="E743">
        <f>SUM(Details[[#This Row],[Actual_Cost]],Details[[#This Row],[Profit]])</f>
        <v>262</v>
      </c>
      <c r="F743">
        <v>3</v>
      </c>
      <c r="G743">
        <f>PRODUCT(Details[[#This Row],[Selling_Cost]],Details[[#This Row],[Quantity]])</f>
        <v>786</v>
      </c>
      <c r="H743" t="s">
        <v>8</v>
      </c>
      <c r="I743" t="s">
        <v>29</v>
      </c>
      <c r="J743" t="s">
        <v>125</v>
      </c>
      <c r="K743" t="s">
        <v>596</v>
      </c>
      <c r="L743" t="s">
        <v>541</v>
      </c>
    </row>
    <row r="744" spans="1:12" x14ac:dyDescent="0.3">
      <c r="A744" t="s">
        <v>225</v>
      </c>
      <c r="B744">
        <v>108</v>
      </c>
      <c r="C744">
        <v>22</v>
      </c>
      <c r="D744">
        <v>324</v>
      </c>
      <c r="E744">
        <f>SUM(Details[[#This Row],[Actual_Cost]],Details[[#This Row],[Profit]])</f>
        <v>346</v>
      </c>
      <c r="F744">
        <v>3</v>
      </c>
      <c r="G744">
        <f>PRODUCT(Details[[#This Row],[Selling_Cost]],Details[[#This Row],[Quantity]])</f>
        <v>1038</v>
      </c>
      <c r="H744" t="s">
        <v>13</v>
      </c>
      <c r="I744" t="s">
        <v>55</v>
      </c>
      <c r="J744" t="s">
        <v>10</v>
      </c>
      <c r="K744" t="s">
        <v>548</v>
      </c>
      <c r="L744" t="s">
        <v>550</v>
      </c>
    </row>
    <row r="745" spans="1:12" x14ac:dyDescent="0.3">
      <c r="A745" t="s">
        <v>330</v>
      </c>
      <c r="B745">
        <v>125</v>
      </c>
      <c r="C745">
        <v>22</v>
      </c>
      <c r="D745">
        <v>375</v>
      </c>
      <c r="E745">
        <f>SUM(Details[[#This Row],[Actual_Cost]],Details[[#This Row],[Profit]])</f>
        <v>397</v>
      </c>
      <c r="F745">
        <v>3</v>
      </c>
      <c r="G745">
        <f>PRODUCT(Details[[#This Row],[Selling_Cost]],Details[[#This Row],[Quantity]])</f>
        <v>1191</v>
      </c>
      <c r="H745" t="s">
        <v>8</v>
      </c>
      <c r="I745" t="s">
        <v>29</v>
      </c>
      <c r="J745" t="s">
        <v>125</v>
      </c>
      <c r="K745" t="s">
        <v>543</v>
      </c>
      <c r="L745" t="s">
        <v>550</v>
      </c>
    </row>
    <row r="746" spans="1:12" x14ac:dyDescent="0.3">
      <c r="A746" t="s">
        <v>390</v>
      </c>
      <c r="B746">
        <v>152</v>
      </c>
      <c r="C746">
        <v>23</v>
      </c>
      <c r="D746">
        <v>456</v>
      </c>
      <c r="E746">
        <f>SUM(Details[[#This Row],[Actual_Cost]],Details[[#This Row],[Profit]])</f>
        <v>479</v>
      </c>
      <c r="F746">
        <v>3</v>
      </c>
      <c r="G746">
        <f>PRODUCT(Details[[#This Row],[Selling_Cost]],Details[[#This Row],[Quantity]])</f>
        <v>1437</v>
      </c>
      <c r="H746" t="s">
        <v>16</v>
      </c>
      <c r="I746" t="s">
        <v>32</v>
      </c>
      <c r="J746" t="s">
        <v>10</v>
      </c>
      <c r="K746" t="s">
        <v>548</v>
      </c>
      <c r="L746" t="s">
        <v>546</v>
      </c>
    </row>
    <row r="747" spans="1:12" x14ac:dyDescent="0.3">
      <c r="A747" t="s">
        <v>148</v>
      </c>
      <c r="B747">
        <v>156</v>
      </c>
      <c r="C747">
        <v>23</v>
      </c>
      <c r="D747">
        <v>468</v>
      </c>
      <c r="E747">
        <f>SUM(Details[[#This Row],[Actual_Cost]],Details[[#This Row],[Profit]])</f>
        <v>491</v>
      </c>
      <c r="F747">
        <v>3</v>
      </c>
      <c r="G747">
        <f>PRODUCT(Details[[#This Row],[Selling_Cost]],Details[[#This Row],[Quantity]])</f>
        <v>1473</v>
      </c>
      <c r="H747" t="s">
        <v>8</v>
      </c>
      <c r="I747" t="s">
        <v>29</v>
      </c>
      <c r="J747" t="s">
        <v>10</v>
      </c>
      <c r="K747" t="s">
        <v>548</v>
      </c>
      <c r="L747" t="s">
        <v>541</v>
      </c>
    </row>
    <row r="748" spans="1:12" x14ac:dyDescent="0.3">
      <c r="A748" t="s">
        <v>243</v>
      </c>
      <c r="B748">
        <v>70</v>
      </c>
      <c r="C748">
        <v>24</v>
      </c>
      <c r="D748">
        <v>210</v>
      </c>
      <c r="E748">
        <f>SUM(Details[[#This Row],[Actual_Cost]],Details[[#This Row],[Profit]])</f>
        <v>234</v>
      </c>
      <c r="F748">
        <v>3</v>
      </c>
      <c r="G748">
        <f>PRODUCT(Details[[#This Row],[Selling_Cost]],Details[[#This Row],[Quantity]])</f>
        <v>702</v>
      </c>
      <c r="H748" t="s">
        <v>8</v>
      </c>
      <c r="I748" t="s">
        <v>29</v>
      </c>
      <c r="J748" t="s">
        <v>18</v>
      </c>
      <c r="K748" t="s">
        <v>578</v>
      </c>
      <c r="L748" t="s">
        <v>541</v>
      </c>
    </row>
    <row r="749" spans="1:12" x14ac:dyDescent="0.3">
      <c r="A749" t="s">
        <v>391</v>
      </c>
      <c r="B749">
        <v>112</v>
      </c>
      <c r="C749">
        <v>24</v>
      </c>
      <c r="D749">
        <v>336</v>
      </c>
      <c r="E749">
        <f>SUM(Details[[#This Row],[Actual_Cost]],Details[[#This Row],[Profit]])</f>
        <v>360</v>
      </c>
      <c r="F749">
        <v>3</v>
      </c>
      <c r="G749">
        <f>PRODUCT(Details[[#This Row],[Selling_Cost]],Details[[#This Row],[Quantity]])</f>
        <v>1080</v>
      </c>
      <c r="H749" t="s">
        <v>8</v>
      </c>
      <c r="I749" t="s">
        <v>44</v>
      </c>
      <c r="J749" t="s">
        <v>10</v>
      </c>
      <c r="K749" t="s">
        <v>626</v>
      </c>
      <c r="L749" t="s">
        <v>567</v>
      </c>
    </row>
    <row r="750" spans="1:12" x14ac:dyDescent="0.3">
      <c r="A750" t="s">
        <v>213</v>
      </c>
      <c r="B750">
        <v>148</v>
      </c>
      <c r="C750">
        <v>24</v>
      </c>
      <c r="D750">
        <v>444</v>
      </c>
      <c r="E750">
        <f>SUM(Details[[#This Row],[Actual_Cost]],Details[[#This Row],[Profit]])</f>
        <v>468</v>
      </c>
      <c r="F750">
        <v>3</v>
      </c>
      <c r="G750">
        <f>PRODUCT(Details[[#This Row],[Selling_Cost]],Details[[#This Row],[Quantity]])</f>
        <v>1404</v>
      </c>
      <c r="H750" t="s">
        <v>8</v>
      </c>
      <c r="I750" t="s">
        <v>29</v>
      </c>
      <c r="J750" t="s">
        <v>10</v>
      </c>
      <c r="K750" t="s">
        <v>661</v>
      </c>
      <c r="L750" t="s">
        <v>567</v>
      </c>
    </row>
    <row r="751" spans="1:12" x14ac:dyDescent="0.3">
      <c r="A751" t="s">
        <v>223</v>
      </c>
      <c r="B751">
        <v>59</v>
      </c>
      <c r="C751">
        <v>25</v>
      </c>
      <c r="D751">
        <v>177</v>
      </c>
      <c r="E751">
        <f>SUM(Details[[#This Row],[Actual_Cost]],Details[[#This Row],[Profit]])</f>
        <v>202</v>
      </c>
      <c r="F751">
        <v>3</v>
      </c>
      <c r="G751">
        <f>PRODUCT(Details[[#This Row],[Selling_Cost]],Details[[#This Row],[Quantity]])</f>
        <v>606</v>
      </c>
      <c r="H751" t="s">
        <v>8</v>
      </c>
      <c r="I751" t="s">
        <v>29</v>
      </c>
      <c r="J751" t="s">
        <v>10</v>
      </c>
      <c r="K751" t="s">
        <v>581</v>
      </c>
      <c r="L751" t="s">
        <v>546</v>
      </c>
    </row>
    <row r="752" spans="1:12" x14ac:dyDescent="0.3">
      <c r="A752" t="s">
        <v>70</v>
      </c>
      <c r="B752">
        <v>148</v>
      </c>
      <c r="C752">
        <v>25</v>
      </c>
      <c r="D752">
        <v>444</v>
      </c>
      <c r="E752">
        <f>SUM(Details[[#This Row],[Actual_Cost]],Details[[#This Row],[Profit]])</f>
        <v>469</v>
      </c>
      <c r="F752">
        <v>3</v>
      </c>
      <c r="G752">
        <f>PRODUCT(Details[[#This Row],[Selling_Cost]],Details[[#This Row],[Quantity]])</f>
        <v>1407</v>
      </c>
      <c r="H752" t="s">
        <v>8</v>
      </c>
      <c r="I752" t="s">
        <v>9</v>
      </c>
      <c r="J752" t="s">
        <v>42</v>
      </c>
      <c r="K752" t="s">
        <v>548</v>
      </c>
      <c r="L752" t="s">
        <v>541</v>
      </c>
    </row>
    <row r="753" spans="1:12" x14ac:dyDescent="0.3">
      <c r="A753" t="s">
        <v>303</v>
      </c>
      <c r="B753">
        <v>451</v>
      </c>
      <c r="C753">
        <v>25</v>
      </c>
      <c r="D753">
        <v>1353</v>
      </c>
      <c r="E753">
        <f>SUM(Details[[#This Row],[Actual_Cost]],Details[[#This Row],[Profit]])</f>
        <v>1378</v>
      </c>
      <c r="F753">
        <v>3</v>
      </c>
      <c r="G753">
        <f>PRODUCT(Details[[#This Row],[Selling_Cost]],Details[[#This Row],[Quantity]])</f>
        <v>4134</v>
      </c>
      <c r="H753" t="s">
        <v>13</v>
      </c>
      <c r="I753" t="s">
        <v>14</v>
      </c>
      <c r="J753" t="s">
        <v>125</v>
      </c>
      <c r="K753" t="s">
        <v>632</v>
      </c>
      <c r="L753" t="s">
        <v>541</v>
      </c>
    </row>
    <row r="754" spans="1:12" x14ac:dyDescent="0.3">
      <c r="A754" t="s">
        <v>231</v>
      </c>
      <c r="B754">
        <v>155</v>
      </c>
      <c r="C754">
        <v>26</v>
      </c>
      <c r="D754">
        <v>465</v>
      </c>
      <c r="E754">
        <f>SUM(Details[[#This Row],[Actual_Cost]],Details[[#This Row],[Profit]])</f>
        <v>491</v>
      </c>
      <c r="F754">
        <v>3</v>
      </c>
      <c r="G754">
        <f>PRODUCT(Details[[#This Row],[Selling_Cost]],Details[[#This Row],[Quantity]])</f>
        <v>1473</v>
      </c>
      <c r="H754" t="s">
        <v>8</v>
      </c>
      <c r="I754" t="s">
        <v>29</v>
      </c>
      <c r="J754" t="s">
        <v>125</v>
      </c>
      <c r="K754" t="s">
        <v>569</v>
      </c>
      <c r="L754" t="s">
        <v>563</v>
      </c>
    </row>
    <row r="755" spans="1:12" x14ac:dyDescent="0.3">
      <c r="A755" t="s">
        <v>392</v>
      </c>
      <c r="B755">
        <v>321</v>
      </c>
      <c r="C755">
        <v>26</v>
      </c>
      <c r="D755">
        <v>963</v>
      </c>
      <c r="E755">
        <f>SUM(Details[[#This Row],[Actual_Cost]],Details[[#This Row],[Profit]])</f>
        <v>989</v>
      </c>
      <c r="F755">
        <v>3</v>
      </c>
      <c r="G755">
        <f>PRODUCT(Details[[#This Row],[Selling_Cost]],Details[[#This Row],[Quantity]])</f>
        <v>2967</v>
      </c>
      <c r="H755" t="s">
        <v>13</v>
      </c>
      <c r="I755" t="s">
        <v>20</v>
      </c>
      <c r="J755" t="s">
        <v>42</v>
      </c>
      <c r="K755" t="s">
        <v>610</v>
      </c>
      <c r="L755" t="s">
        <v>563</v>
      </c>
    </row>
    <row r="756" spans="1:12" x14ac:dyDescent="0.3">
      <c r="A756" t="s">
        <v>393</v>
      </c>
      <c r="B756">
        <v>433</v>
      </c>
      <c r="C756">
        <v>26</v>
      </c>
      <c r="D756">
        <v>1299</v>
      </c>
      <c r="E756">
        <f>SUM(Details[[#This Row],[Actual_Cost]],Details[[#This Row],[Profit]])</f>
        <v>1325</v>
      </c>
      <c r="F756">
        <v>3</v>
      </c>
      <c r="G756">
        <f>PRODUCT(Details[[#This Row],[Selling_Cost]],Details[[#This Row],[Quantity]])</f>
        <v>3975</v>
      </c>
      <c r="H756" t="s">
        <v>13</v>
      </c>
      <c r="I756" t="s">
        <v>20</v>
      </c>
      <c r="J756" t="s">
        <v>42</v>
      </c>
      <c r="K756" t="s">
        <v>592</v>
      </c>
      <c r="L756" t="s">
        <v>585</v>
      </c>
    </row>
    <row r="757" spans="1:12" x14ac:dyDescent="0.3">
      <c r="A757" t="s">
        <v>236</v>
      </c>
      <c r="B757">
        <v>527</v>
      </c>
      <c r="C757">
        <v>26</v>
      </c>
      <c r="D757">
        <v>1581</v>
      </c>
      <c r="E757">
        <f>SUM(Details[[#This Row],[Actual_Cost]],Details[[#This Row],[Profit]])</f>
        <v>1607</v>
      </c>
      <c r="F757">
        <v>3</v>
      </c>
      <c r="G757">
        <f>PRODUCT(Details[[#This Row],[Selling_Cost]],Details[[#This Row],[Quantity]])</f>
        <v>4821</v>
      </c>
      <c r="H757" t="s">
        <v>13</v>
      </c>
      <c r="I757" t="s">
        <v>34</v>
      </c>
      <c r="J757" t="s">
        <v>10</v>
      </c>
      <c r="K757" t="s">
        <v>578</v>
      </c>
      <c r="L757" t="s">
        <v>544</v>
      </c>
    </row>
    <row r="758" spans="1:12" x14ac:dyDescent="0.3">
      <c r="A758" t="s">
        <v>394</v>
      </c>
      <c r="B758">
        <v>78</v>
      </c>
      <c r="C758">
        <v>27</v>
      </c>
      <c r="D758">
        <v>234</v>
      </c>
      <c r="E758">
        <f>SUM(Details[[#This Row],[Actual_Cost]],Details[[#This Row],[Profit]])</f>
        <v>261</v>
      </c>
      <c r="F758">
        <v>3</v>
      </c>
      <c r="G758">
        <f>PRODUCT(Details[[#This Row],[Selling_Cost]],Details[[#This Row],[Quantity]])</f>
        <v>783</v>
      </c>
      <c r="H758" t="s">
        <v>8</v>
      </c>
      <c r="I758" t="s">
        <v>29</v>
      </c>
      <c r="J758" t="s">
        <v>10</v>
      </c>
      <c r="K758" t="s">
        <v>543</v>
      </c>
      <c r="L758" t="s">
        <v>550</v>
      </c>
    </row>
    <row r="759" spans="1:12" x14ac:dyDescent="0.3">
      <c r="A759" t="s">
        <v>40</v>
      </c>
      <c r="B759">
        <v>484</v>
      </c>
      <c r="C759">
        <v>28</v>
      </c>
      <c r="D759">
        <v>1452</v>
      </c>
      <c r="E759">
        <f>SUM(Details[[#This Row],[Actual_Cost]],Details[[#This Row],[Profit]])</f>
        <v>1480</v>
      </c>
      <c r="F759">
        <v>3</v>
      </c>
      <c r="G759">
        <f>PRODUCT(Details[[#This Row],[Selling_Cost]],Details[[#This Row],[Quantity]])</f>
        <v>4440</v>
      </c>
      <c r="H759" t="s">
        <v>13</v>
      </c>
      <c r="I759" t="s">
        <v>20</v>
      </c>
      <c r="J759" t="s">
        <v>42</v>
      </c>
      <c r="K759" t="s">
        <v>548</v>
      </c>
      <c r="L759" t="s">
        <v>550</v>
      </c>
    </row>
    <row r="760" spans="1:12" x14ac:dyDescent="0.3">
      <c r="A760" t="s">
        <v>82</v>
      </c>
      <c r="B760">
        <v>74</v>
      </c>
      <c r="C760">
        <v>29</v>
      </c>
      <c r="D760">
        <v>222</v>
      </c>
      <c r="E760">
        <f>SUM(Details[[#This Row],[Actual_Cost]],Details[[#This Row],[Profit]])</f>
        <v>251</v>
      </c>
      <c r="F760">
        <v>3</v>
      </c>
      <c r="G760">
        <f>PRODUCT(Details[[#This Row],[Selling_Cost]],Details[[#This Row],[Quantity]])</f>
        <v>753</v>
      </c>
      <c r="H760" t="s">
        <v>8</v>
      </c>
      <c r="I760" t="s">
        <v>29</v>
      </c>
      <c r="J760" t="s">
        <v>10</v>
      </c>
      <c r="K760" t="s">
        <v>569</v>
      </c>
      <c r="L760" t="s">
        <v>546</v>
      </c>
    </row>
    <row r="761" spans="1:12" x14ac:dyDescent="0.3">
      <c r="A761" t="s">
        <v>85</v>
      </c>
      <c r="B761">
        <v>74</v>
      </c>
      <c r="C761">
        <v>29</v>
      </c>
      <c r="D761">
        <v>222</v>
      </c>
      <c r="E761">
        <f>SUM(Details[[#This Row],[Actual_Cost]],Details[[#This Row],[Profit]])</f>
        <v>251</v>
      </c>
      <c r="F761">
        <v>3</v>
      </c>
      <c r="G761">
        <f>PRODUCT(Details[[#This Row],[Selling_Cost]],Details[[#This Row],[Quantity]])</f>
        <v>753</v>
      </c>
      <c r="H761" t="s">
        <v>8</v>
      </c>
      <c r="I761" t="s">
        <v>29</v>
      </c>
      <c r="J761" t="s">
        <v>10</v>
      </c>
      <c r="K761" t="s">
        <v>661</v>
      </c>
      <c r="L761" t="s">
        <v>624</v>
      </c>
    </row>
    <row r="762" spans="1:12" x14ac:dyDescent="0.3">
      <c r="A762" t="s">
        <v>111</v>
      </c>
      <c r="B762">
        <v>74</v>
      </c>
      <c r="C762">
        <v>29</v>
      </c>
      <c r="D762">
        <v>222</v>
      </c>
      <c r="E762">
        <f>SUM(Details[[#This Row],[Actual_Cost]],Details[[#This Row],[Profit]])</f>
        <v>251</v>
      </c>
      <c r="F762">
        <v>3</v>
      </c>
      <c r="G762">
        <f>PRODUCT(Details[[#This Row],[Selling_Cost]],Details[[#This Row],[Quantity]])</f>
        <v>753</v>
      </c>
      <c r="H762" t="s">
        <v>8</v>
      </c>
      <c r="I762" t="s">
        <v>29</v>
      </c>
      <c r="J762" t="s">
        <v>125</v>
      </c>
      <c r="K762" t="s">
        <v>548</v>
      </c>
      <c r="L762" t="s">
        <v>567</v>
      </c>
    </row>
    <row r="763" spans="1:12" x14ac:dyDescent="0.3">
      <c r="A763" t="s">
        <v>210</v>
      </c>
      <c r="B763">
        <v>127</v>
      </c>
      <c r="C763">
        <v>29</v>
      </c>
      <c r="D763">
        <v>381</v>
      </c>
      <c r="E763">
        <f>SUM(Details[[#This Row],[Actual_Cost]],Details[[#This Row],[Profit]])</f>
        <v>410</v>
      </c>
      <c r="F763">
        <v>3</v>
      </c>
      <c r="G763">
        <f>PRODUCT(Details[[#This Row],[Selling_Cost]],Details[[#This Row],[Quantity]])</f>
        <v>1230</v>
      </c>
      <c r="H763" t="s">
        <v>16</v>
      </c>
      <c r="I763" t="s">
        <v>32</v>
      </c>
      <c r="J763" t="s">
        <v>10</v>
      </c>
      <c r="K763" t="s">
        <v>569</v>
      </c>
      <c r="L763" t="s">
        <v>567</v>
      </c>
    </row>
    <row r="764" spans="1:12" x14ac:dyDescent="0.3">
      <c r="A764" t="s">
        <v>395</v>
      </c>
      <c r="B764">
        <v>139</v>
      </c>
      <c r="C764">
        <v>30</v>
      </c>
      <c r="D764">
        <v>417</v>
      </c>
      <c r="E764">
        <f>SUM(Details[[#This Row],[Actual_Cost]],Details[[#This Row],[Profit]])</f>
        <v>447</v>
      </c>
      <c r="F764">
        <v>3</v>
      </c>
      <c r="G764">
        <f>PRODUCT(Details[[#This Row],[Selling_Cost]],Details[[#This Row],[Quantity]])</f>
        <v>1341</v>
      </c>
      <c r="H764" t="s">
        <v>8</v>
      </c>
      <c r="I764" t="s">
        <v>61</v>
      </c>
      <c r="J764" t="s">
        <v>18</v>
      </c>
      <c r="K764" t="s">
        <v>607</v>
      </c>
      <c r="L764" t="s">
        <v>550</v>
      </c>
    </row>
    <row r="765" spans="1:12" x14ac:dyDescent="0.3">
      <c r="A765" t="s">
        <v>102</v>
      </c>
      <c r="B765">
        <v>165</v>
      </c>
      <c r="C765">
        <v>30</v>
      </c>
      <c r="D765">
        <v>495</v>
      </c>
      <c r="E765">
        <f>SUM(Details[[#This Row],[Actual_Cost]],Details[[#This Row],[Profit]])</f>
        <v>525</v>
      </c>
      <c r="F765">
        <v>3</v>
      </c>
      <c r="G765">
        <f>PRODUCT(Details[[#This Row],[Selling_Cost]],Details[[#This Row],[Quantity]])</f>
        <v>1575</v>
      </c>
      <c r="H765" t="s">
        <v>8</v>
      </c>
      <c r="I765" t="s">
        <v>29</v>
      </c>
      <c r="J765" t="s">
        <v>10</v>
      </c>
      <c r="K765" t="s">
        <v>552</v>
      </c>
      <c r="L765" t="s">
        <v>554</v>
      </c>
    </row>
    <row r="766" spans="1:12" x14ac:dyDescent="0.3">
      <c r="A766" t="s">
        <v>216</v>
      </c>
      <c r="B766">
        <v>214</v>
      </c>
      <c r="C766">
        <v>30</v>
      </c>
      <c r="D766">
        <v>642</v>
      </c>
      <c r="E766">
        <f>SUM(Details[[#This Row],[Actual_Cost]],Details[[#This Row],[Profit]])</f>
        <v>672</v>
      </c>
      <c r="F766">
        <v>3</v>
      </c>
      <c r="G766">
        <f>PRODUCT(Details[[#This Row],[Selling_Cost]],Details[[#This Row],[Quantity]])</f>
        <v>2016</v>
      </c>
      <c r="H766" t="s">
        <v>13</v>
      </c>
      <c r="I766" t="s">
        <v>55</v>
      </c>
      <c r="J766" t="s">
        <v>10</v>
      </c>
      <c r="K766" t="s">
        <v>548</v>
      </c>
      <c r="L766" t="s">
        <v>567</v>
      </c>
    </row>
    <row r="767" spans="1:12" x14ac:dyDescent="0.3">
      <c r="A767" t="s">
        <v>228</v>
      </c>
      <c r="B767">
        <v>382</v>
      </c>
      <c r="C767">
        <v>30</v>
      </c>
      <c r="D767">
        <v>1146</v>
      </c>
      <c r="E767">
        <f>SUM(Details[[#This Row],[Actual_Cost]],Details[[#This Row],[Profit]])</f>
        <v>1176</v>
      </c>
      <c r="F767">
        <v>3</v>
      </c>
      <c r="G767">
        <f>PRODUCT(Details[[#This Row],[Selling_Cost]],Details[[#This Row],[Quantity]])</f>
        <v>3528</v>
      </c>
      <c r="H767" t="s">
        <v>8</v>
      </c>
      <c r="I767" t="s">
        <v>9</v>
      </c>
      <c r="J767" t="s">
        <v>27</v>
      </c>
      <c r="K767" t="s">
        <v>596</v>
      </c>
      <c r="L767" t="s">
        <v>565</v>
      </c>
    </row>
    <row r="768" spans="1:12" x14ac:dyDescent="0.3">
      <c r="A768" t="s">
        <v>84</v>
      </c>
      <c r="B768">
        <v>93</v>
      </c>
      <c r="C768">
        <v>31</v>
      </c>
      <c r="D768">
        <v>279</v>
      </c>
      <c r="E768">
        <f>SUM(Details[[#This Row],[Actual_Cost]],Details[[#This Row],[Profit]])</f>
        <v>310</v>
      </c>
      <c r="F768">
        <v>3</v>
      </c>
      <c r="G768">
        <f>PRODUCT(Details[[#This Row],[Selling_Cost]],Details[[#This Row],[Quantity]])</f>
        <v>930</v>
      </c>
      <c r="H768" t="s">
        <v>13</v>
      </c>
      <c r="I768" t="s">
        <v>55</v>
      </c>
      <c r="J768" t="s">
        <v>18</v>
      </c>
      <c r="K768" t="s">
        <v>641</v>
      </c>
      <c r="L768" t="s">
        <v>541</v>
      </c>
    </row>
    <row r="769" spans="1:12" x14ac:dyDescent="0.3">
      <c r="A769" t="s">
        <v>142</v>
      </c>
      <c r="B769">
        <v>460</v>
      </c>
      <c r="C769">
        <v>31</v>
      </c>
      <c r="D769">
        <v>1380</v>
      </c>
      <c r="E769">
        <f>SUM(Details[[#This Row],[Actual_Cost]],Details[[#This Row],[Profit]])</f>
        <v>1411</v>
      </c>
      <c r="F769">
        <v>3</v>
      </c>
      <c r="G769">
        <f>PRODUCT(Details[[#This Row],[Selling_Cost]],Details[[#This Row],[Quantity]])</f>
        <v>4233</v>
      </c>
      <c r="H769" t="s">
        <v>16</v>
      </c>
      <c r="I769" t="s">
        <v>17</v>
      </c>
      <c r="J769" t="s">
        <v>42</v>
      </c>
      <c r="K769" t="s">
        <v>548</v>
      </c>
      <c r="L769" t="s">
        <v>614</v>
      </c>
    </row>
    <row r="770" spans="1:12" x14ac:dyDescent="0.3">
      <c r="A770" t="s">
        <v>396</v>
      </c>
      <c r="B770">
        <v>71</v>
      </c>
      <c r="C770">
        <v>32</v>
      </c>
      <c r="D770">
        <v>213</v>
      </c>
      <c r="E770">
        <f>SUM(Details[[#This Row],[Actual_Cost]],Details[[#This Row],[Profit]])</f>
        <v>245</v>
      </c>
      <c r="F770">
        <v>3</v>
      </c>
      <c r="G770">
        <f>PRODUCT(Details[[#This Row],[Selling_Cost]],Details[[#This Row],[Quantity]])</f>
        <v>735</v>
      </c>
      <c r="H770" t="s">
        <v>8</v>
      </c>
      <c r="I770" t="s">
        <v>9</v>
      </c>
      <c r="J770" t="s">
        <v>42</v>
      </c>
      <c r="K770" t="s">
        <v>543</v>
      </c>
      <c r="L770" t="s">
        <v>544</v>
      </c>
    </row>
    <row r="771" spans="1:12" x14ac:dyDescent="0.3">
      <c r="A771" t="s">
        <v>258</v>
      </c>
      <c r="B771">
        <v>79</v>
      </c>
      <c r="C771">
        <v>32</v>
      </c>
      <c r="D771">
        <v>237</v>
      </c>
      <c r="E771">
        <f>SUM(Details[[#This Row],[Actual_Cost]],Details[[#This Row],[Profit]])</f>
        <v>269</v>
      </c>
      <c r="F771">
        <v>3</v>
      </c>
      <c r="G771">
        <f>PRODUCT(Details[[#This Row],[Selling_Cost]],Details[[#This Row],[Quantity]])</f>
        <v>807</v>
      </c>
      <c r="H771" t="s">
        <v>8</v>
      </c>
      <c r="I771" t="s">
        <v>9</v>
      </c>
      <c r="J771" t="s">
        <v>42</v>
      </c>
      <c r="K771" t="s">
        <v>607</v>
      </c>
      <c r="L771" t="s">
        <v>541</v>
      </c>
    </row>
    <row r="772" spans="1:12" x14ac:dyDescent="0.3">
      <c r="A772" t="s">
        <v>387</v>
      </c>
      <c r="B772">
        <v>150</v>
      </c>
      <c r="C772">
        <v>32</v>
      </c>
      <c r="D772">
        <v>450</v>
      </c>
      <c r="E772">
        <f>SUM(Details[[#This Row],[Actual_Cost]],Details[[#This Row],[Profit]])</f>
        <v>482</v>
      </c>
      <c r="F772">
        <v>3</v>
      </c>
      <c r="G772">
        <f>PRODUCT(Details[[#This Row],[Selling_Cost]],Details[[#This Row],[Quantity]])</f>
        <v>1446</v>
      </c>
      <c r="H772" t="s">
        <v>8</v>
      </c>
      <c r="I772" t="s">
        <v>48</v>
      </c>
      <c r="J772" t="s">
        <v>10</v>
      </c>
      <c r="K772" t="s">
        <v>596</v>
      </c>
      <c r="L772" t="s">
        <v>546</v>
      </c>
    </row>
    <row r="773" spans="1:12" x14ac:dyDescent="0.3">
      <c r="A773" t="s">
        <v>288</v>
      </c>
      <c r="B773">
        <v>360</v>
      </c>
      <c r="C773">
        <v>32</v>
      </c>
      <c r="D773">
        <v>1080</v>
      </c>
      <c r="E773">
        <f>SUM(Details[[#This Row],[Actual_Cost]],Details[[#This Row],[Profit]])</f>
        <v>1112</v>
      </c>
      <c r="F773">
        <v>3</v>
      </c>
      <c r="G773">
        <f>PRODUCT(Details[[#This Row],[Selling_Cost]],Details[[#This Row],[Quantity]])</f>
        <v>3336</v>
      </c>
      <c r="H773" t="s">
        <v>8</v>
      </c>
      <c r="I773" t="s">
        <v>9</v>
      </c>
      <c r="J773" t="s">
        <v>18</v>
      </c>
      <c r="K773" t="s">
        <v>632</v>
      </c>
      <c r="L773" t="s">
        <v>546</v>
      </c>
    </row>
    <row r="774" spans="1:12" x14ac:dyDescent="0.3">
      <c r="A774" t="s">
        <v>101</v>
      </c>
      <c r="B774">
        <v>89</v>
      </c>
      <c r="C774">
        <v>36</v>
      </c>
      <c r="D774">
        <v>267</v>
      </c>
      <c r="E774">
        <f>SUM(Details[[#This Row],[Actual_Cost]],Details[[#This Row],[Profit]])</f>
        <v>303</v>
      </c>
      <c r="F774">
        <v>3</v>
      </c>
      <c r="G774">
        <f>PRODUCT(Details[[#This Row],[Selling_Cost]],Details[[#This Row],[Quantity]])</f>
        <v>909</v>
      </c>
      <c r="H774" t="s">
        <v>8</v>
      </c>
      <c r="I774" t="s">
        <v>61</v>
      </c>
      <c r="J774" t="s">
        <v>18</v>
      </c>
      <c r="K774" t="s">
        <v>548</v>
      </c>
      <c r="L774" t="s">
        <v>544</v>
      </c>
    </row>
    <row r="775" spans="1:12" x14ac:dyDescent="0.3">
      <c r="A775" t="s">
        <v>148</v>
      </c>
      <c r="B775">
        <v>139</v>
      </c>
      <c r="C775">
        <v>36</v>
      </c>
      <c r="D775">
        <v>417</v>
      </c>
      <c r="E775">
        <f>SUM(Details[[#This Row],[Actual_Cost]],Details[[#This Row],[Profit]])</f>
        <v>453</v>
      </c>
      <c r="F775">
        <v>3</v>
      </c>
      <c r="G775">
        <f>PRODUCT(Details[[#This Row],[Selling_Cost]],Details[[#This Row],[Quantity]])</f>
        <v>1359</v>
      </c>
      <c r="H775" t="s">
        <v>8</v>
      </c>
      <c r="I775" t="s">
        <v>29</v>
      </c>
      <c r="J775" t="s">
        <v>10</v>
      </c>
      <c r="K775" t="s">
        <v>548</v>
      </c>
      <c r="L775" t="s">
        <v>541</v>
      </c>
    </row>
    <row r="776" spans="1:12" x14ac:dyDescent="0.3">
      <c r="A776" t="s">
        <v>279</v>
      </c>
      <c r="B776">
        <v>107</v>
      </c>
      <c r="C776">
        <v>37</v>
      </c>
      <c r="D776">
        <v>321</v>
      </c>
      <c r="E776">
        <f>SUM(Details[[#This Row],[Actual_Cost]],Details[[#This Row],[Profit]])</f>
        <v>358</v>
      </c>
      <c r="F776">
        <v>3</v>
      </c>
      <c r="G776">
        <f>PRODUCT(Details[[#This Row],[Selling_Cost]],Details[[#This Row],[Quantity]])</f>
        <v>1074</v>
      </c>
      <c r="H776" t="s">
        <v>8</v>
      </c>
      <c r="I776" t="s">
        <v>61</v>
      </c>
      <c r="J776" t="s">
        <v>10</v>
      </c>
      <c r="K776" t="s">
        <v>607</v>
      </c>
      <c r="L776" t="s">
        <v>567</v>
      </c>
    </row>
    <row r="777" spans="1:12" x14ac:dyDescent="0.3">
      <c r="A777" t="s">
        <v>290</v>
      </c>
      <c r="B777">
        <v>158</v>
      </c>
      <c r="C777">
        <v>38</v>
      </c>
      <c r="D777">
        <v>474</v>
      </c>
      <c r="E777">
        <f>SUM(Details[[#This Row],[Actual_Cost]],Details[[#This Row],[Profit]])</f>
        <v>512</v>
      </c>
      <c r="F777">
        <v>3</v>
      </c>
      <c r="G777">
        <f>PRODUCT(Details[[#This Row],[Selling_Cost]],Details[[#This Row],[Quantity]])</f>
        <v>1536</v>
      </c>
      <c r="H777" t="s">
        <v>8</v>
      </c>
      <c r="I777" t="s">
        <v>48</v>
      </c>
      <c r="J777" t="s">
        <v>18</v>
      </c>
      <c r="K777" t="s">
        <v>569</v>
      </c>
      <c r="L777" t="s">
        <v>550</v>
      </c>
    </row>
    <row r="778" spans="1:12" x14ac:dyDescent="0.3">
      <c r="A778" t="s">
        <v>397</v>
      </c>
      <c r="B778">
        <v>169</v>
      </c>
      <c r="C778">
        <v>38</v>
      </c>
      <c r="D778">
        <v>507</v>
      </c>
      <c r="E778">
        <f>SUM(Details[[#This Row],[Actual_Cost]],Details[[#This Row],[Profit]])</f>
        <v>545</v>
      </c>
      <c r="F778">
        <v>3</v>
      </c>
      <c r="G778">
        <f>PRODUCT(Details[[#This Row],[Selling_Cost]],Details[[#This Row],[Quantity]])</f>
        <v>1635</v>
      </c>
      <c r="H778" t="s">
        <v>8</v>
      </c>
      <c r="I778" t="s">
        <v>9</v>
      </c>
      <c r="J778" t="s">
        <v>42</v>
      </c>
      <c r="K778" t="s">
        <v>548</v>
      </c>
      <c r="L778" t="s">
        <v>546</v>
      </c>
    </row>
    <row r="779" spans="1:12" x14ac:dyDescent="0.3">
      <c r="A779" t="s">
        <v>332</v>
      </c>
      <c r="B779">
        <v>154</v>
      </c>
      <c r="C779">
        <v>39</v>
      </c>
      <c r="D779">
        <v>462</v>
      </c>
      <c r="E779">
        <f>SUM(Details[[#This Row],[Actual_Cost]],Details[[#This Row],[Profit]])</f>
        <v>501</v>
      </c>
      <c r="F779">
        <v>3</v>
      </c>
      <c r="G779">
        <f>PRODUCT(Details[[#This Row],[Selling_Cost]],Details[[#This Row],[Quantity]])</f>
        <v>1503</v>
      </c>
      <c r="H779" t="s">
        <v>8</v>
      </c>
      <c r="I779" t="s">
        <v>48</v>
      </c>
      <c r="J779" t="s">
        <v>10</v>
      </c>
      <c r="K779" t="s">
        <v>548</v>
      </c>
      <c r="L779" t="s">
        <v>565</v>
      </c>
    </row>
    <row r="780" spans="1:12" x14ac:dyDescent="0.3">
      <c r="A780" t="s">
        <v>398</v>
      </c>
      <c r="B780">
        <v>161</v>
      </c>
      <c r="C780">
        <v>40</v>
      </c>
      <c r="D780">
        <v>483</v>
      </c>
      <c r="E780">
        <f>SUM(Details[[#This Row],[Actual_Cost]],Details[[#This Row],[Profit]])</f>
        <v>523</v>
      </c>
      <c r="F780">
        <v>3</v>
      </c>
      <c r="G780">
        <f>PRODUCT(Details[[#This Row],[Selling_Cost]],Details[[#This Row],[Quantity]])</f>
        <v>1569</v>
      </c>
      <c r="H780" t="s">
        <v>8</v>
      </c>
      <c r="I780" t="s">
        <v>29</v>
      </c>
      <c r="J780" t="s">
        <v>10</v>
      </c>
      <c r="K780" t="s">
        <v>552</v>
      </c>
      <c r="L780" t="s">
        <v>563</v>
      </c>
    </row>
    <row r="781" spans="1:12" x14ac:dyDescent="0.3">
      <c r="A781" t="s">
        <v>129</v>
      </c>
      <c r="B781">
        <v>81</v>
      </c>
      <c r="C781">
        <v>41</v>
      </c>
      <c r="D781">
        <v>243</v>
      </c>
      <c r="E781">
        <f>SUM(Details[[#This Row],[Actual_Cost]],Details[[#This Row],[Profit]])</f>
        <v>284</v>
      </c>
      <c r="F781">
        <v>3</v>
      </c>
      <c r="G781">
        <f>PRODUCT(Details[[#This Row],[Selling_Cost]],Details[[#This Row],[Quantity]])</f>
        <v>852</v>
      </c>
      <c r="H781" t="s">
        <v>8</v>
      </c>
      <c r="I781" t="s">
        <v>29</v>
      </c>
      <c r="J781" t="s">
        <v>42</v>
      </c>
      <c r="K781" t="s">
        <v>561</v>
      </c>
      <c r="L781" t="s">
        <v>546</v>
      </c>
    </row>
    <row r="782" spans="1:12" x14ac:dyDescent="0.3">
      <c r="A782" t="s">
        <v>399</v>
      </c>
      <c r="B782">
        <v>84</v>
      </c>
      <c r="C782">
        <v>41</v>
      </c>
      <c r="D782">
        <v>252</v>
      </c>
      <c r="E782">
        <f>SUM(Details[[#This Row],[Actual_Cost]],Details[[#This Row],[Profit]])</f>
        <v>293</v>
      </c>
      <c r="F782">
        <v>3</v>
      </c>
      <c r="G782">
        <f>PRODUCT(Details[[#This Row],[Selling_Cost]],Details[[#This Row],[Quantity]])</f>
        <v>879</v>
      </c>
      <c r="H782" t="s">
        <v>8</v>
      </c>
      <c r="I782" t="s">
        <v>46</v>
      </c>
      <c r="J782" t="s">
        <v>27</v>
      </c>
      <c r="K782" t="s">
        <v>548</v>
      </c>
      <c r="L782" t="s">
        <v>567</v>
      </c>
    </row>
    <row r="783" spans="1:12" x14ac:dyDescent="0.3">
      <c r="A783" t="s">
        <v>283</v>
      </c>
      <c r="B783">
        <v>136</v>
      </c>
      <c r="C783">
        <v>41</v>
      </c>
      <c r="D783">
        <v>408</v>
      </c>
      <c r="E783">
        <f>SUM(Details[[#This Row],[Actual_Cost]],Details[[#This Row],[Profit]])</f>
        <v>449</v>
      </c>
      <c r="F783">
        <v>3</v>
      </c>
      <c r="G783">
        <f>PRODUCT(Details[[#This Row],[Selling_Cost]],Details[[#This Row],[Quantity]])</f>
        <v>1347</v>
      </c>
      <c r="H783" t="s">
        <v>13</v>
      </c>
      <c r="I783" t="s">
        <v>55</v>
      </c>
      <c r="J783" t="s">
        <v>18</v>
      </c>
      <c r="K783" t="s">
        <v>711</v>
      </c>
      <c r="L783" t="s">
        <v>546</v>
      </c>
    </row>
    <row r="784" spans="1:12" x14ac:dyDescent="0.3">
      <c r="A784" t="s">
        <v>400</v>
      </c>
      <c r="B784">
        <v>141</v>
      </c>
      <c r="C784">
        <v>41</v>
      </c>
      <c r="D784">
        <v>423</v>
      </c>
      <c r="E784">
        <f>SUM(Details[[#This Row],[Actual_Cost]],Details[[#This Row],[Profit]])</f>
        <v>464</v>
      </c>
      <c r="F784">
        <v>3</v>
      </c>
      <c r="G784">
        <f>PRODUCT(Details[[#This Row],[Selling_Cost]],Details[[#This Row],[Quantity]])</f>
        <v>1392</v>
      </c>
      <c r="H784" t="s">
        <v>8</v>
      </c>
      <c r="I784" t="s">
        <v>61</v>
      </c>
      <c r="J784" t="s">
        <v>18</v>
      </c>
      <c r="K784" t="s">
        <v>607</v>
      </c>
      <c r="L784" t="s">
        <v>544</v>
      </c>
    </row>
    <row r="785" spans="1:12" x14ac:dyDescent="0.3">
      <c r="A785" t="s">
        <v>310</v>
      </c>
      <c r="B785">
        <v>147</v>
      </c>
      <c r="C785">
        <v>44</v>
      </c>
      <c r="D785">
        <v>441</v>
      </c>
      <c r="E785">
        <f>SUM(Details[[#This Row],[Actual_Cost]],Details[[#This Row],[Profit]])</f>
        <v>485</v>
      </c>
      <c r="F785">
        <v>3</v>
      </c>
      <c r="G785">
        <f>PRODUCT(Details[[#This Row],[Selling_Cost]],Details[[#This Row],[Quantity]])</f>
        <v>1455</v>
      </c>
      <c r="H785" t="s">
        <v>8</v>
      </c>
      <c r="I785" t="s">
        <v>9</v>
      </c>
      <c r="J785" t="s">
        <v>10</v>
      </c>
      <c r="K785" t="s">
        <v>607</v>
      </c>
      <c r="L785" t="s">
        <v>544</v>
      </c>
    </row>
    <row r="786" spans="1:12" x14ac:dyDescent="0.3">
      <c r="A786" t="s">
        <v>401</v>
      </c>
      <c r="B786">
        <v>313</v>
      </c>
      <c r="C786">
        <v>44</v>
      </c>
      <c r="D786">
        <v>939</v>
      </c>
      <c r="E786">
        <f>SUM(Details[[#This Row],[Actual_Cost]],Details[[#This Row],[Profit]])</f>
        <v>983</v>
      </c>
      <c r="F786">
        <v>3</v>
      </c>
      <c r="G786">
        <f>PRODUCT(Details[[#This Row],[Selling_Cost]],Details[[#This Row],[Quantity]])</f>
        <v>2949</v>
      </c>
      <c r="H786" t="s">
        <v>13</v>
      </c>
      <c r="I786" t="s">
        <v>34</v>
      </c>
      <c r="J786" t="s">
        <v>10</v>
      </c>
      <c r="K786" t="s">
        <v>548</v>
      </c>
      <c r="L786" t="s">
        <v>541</v>
      </c>
    </row>
    <row r="787" spans="1:12" x14ac:dyDescent="0.3">
      <c r="A787" t="s">
        <v>219</v>
      </c>
      <c r="B787">
        <v>560</v>
      </c>
      <c r="C787">
        <v>44</v>
      </c>
      <c r="D787">
        <v>1680</v>
      </c>
      <c r="E787">
        <f>SUM(Details[[#This Row],[Actual_Cost]],Details[[#This Row],[Profit]])</f>
        <v>1724</v>
      </c>
      <c r="F787">
        <v>3</v>
      </c>
      <c r="G787">
        <f>PRODUCT(Details[[#This Row],[Selling_Cost]],Details[[#This Row],[Quantity]])</f>
        <v>5172</v>
      </c>
      <c r="H787" t="s">
        <v>8</v>
      </c>
      <c r="I787" t="s">
        <v>9</v>
      </c>
      <c r="J787" t="s">
        <v>42</v>
      </c>
      <c r="K787" t="s">
        <v>552</v>
      </c>
      <c r="L787" t="s">
        <v>546</v>
      </c>
    </row>
    <row r="788" spans="1:12" x14ac:dyDescent="0.3">
      <c r="A788" t="s">
        <v>399</v>
      </c>
      <c r="B788">
        <v>165</v>
      </c>
      <c r="C788">
        <v>46</v>
      </c>
      <c r="D788">
        <v>495</v>
      </c>
      <c r="E788">
        <f>SUM(Details[[#This Row],[Actual_Cost]],Details[[#This Row],[Profit]])</f>
        <v>541</v>
      </c>
      <c r="F788">
        <v>3</v>
      </c>
      <c r="G788">
        <f>PRODUCT(Details[[#This Row],[Selling_Cost]],Details[[#This Row],[Quantity]])</f>
        <v>1623</v>
      </c>
      <c r="H788" t="s">
        <v>16</v>
      </c>
      <c r="I788" t="s">
        <v>32</v>
      </c>
      <c r="J788" t="s">
        <v>10</v>
      </c>
      <c r="K788" t="s">
        <v>548</v>
      </c>
      <c r="L788" t="s">
        <v>567</v>
      </c>
    </row>
    <row r="789" spans="1:12" x14ac:dyDescent="0.3">
      <c r="A789" t="s">
        <v>379</v>
      </c>
      <c r="B789">
        <v>147</v>
      </c>
      <c r="C789">
        <v>48</v>
      </c>
      <c r="D789">
        <v>441</v>
      </c>
      <c r="E789">
        <f>SUM(Details[[#This Row],[Actual_Cost]],Details[[#This Row],[Profit]])</f>
        <v>489</v>
      </c>
      <c r="F789">
        <v>3</v>
      </c>
      <c r="G789">
        <f>PRODUCT(Details[[#This Row],[Selling_Cost]],Details[[#This Row],[Quantity]])</f>
        <v>1467</v>
      </c>
      <c r="H789" t="s">
        <v>8</v>
      </c>
      <c r="I789" t="s">
        <v>9</v>
      </c>
      <c r="J789" t="s">
        <v>10</v>
      </c>
      <c r="K789" t="s">
        <v>552</v>
      </c>
      <c r="L789" t="s">
        <v>546</v>
      </c>
    </row>
    <row r="790" spans="1:12" x14ac:dyDescent="0.3">
      <c r="A790" t="s">
        <v>232</v>
      </c>
      <c r="B790">
        <v>132</v>
      </c>
      <c r="C790">
        <v>49</v>
      </c>
      <c r="D790">
        <v>396</v>
      </c>
      <c r="E790">
        <f>SUM(Details[[#This Row],[Actual_Cost]],Details[[#This Row],[Profit]])</f>
        <v>445</v>
      </c>
      <c r="F790">
        <v>3</v>
      </c>
      <c r="G790">
        <f>PRODUCT(Details[[#This Row],[Selling_Cost]],Details[[#This Row],[Quantity]])</f>
        <v>1335</v>
      </c>
      <c r="H790" t="s">
        <v>8</v>
      </c>
      <c r="I790" t="s">
        <v>61</v>
      </c>
      <c r="J790" t="s">
        <v>10</v>
      </c>
      <c r="K790" t="s">
        <v>552</v>
      </c>
      <c r="L790" t="s">
        <v>546</v>
      </c>
    </row>
    <row r="791" spans="1:12" x14ac:dyDescent="0.3">
      <c r="A791" t="s">
        <v>402</v>
      </c>
      <c r="B791">
        <v>417</v>
      </c>
      <c r="C791">
        <v>49</v>
      </c>
      <c r="D791">
        <v>1251</v>
      </c>
      <c r="E791">
        <f>SUM(Details[[#This Row],[Actual_Cost]],Details[[#This Row],[Profit]])</f>
        <v>1300</v>
      </c>
      <c r="F791">
        <v>3</v>
      </c>
      <c r="G791">
        <f>PRODUCT(Details[[#This Row],[Selling_Cost]],Details[[#This Row],[Quantity]])</f>
        <v>3900</v>
      </c>
      <c r="H791" t="s">
        <v>13</v>
      </c>
      <c r="I791" t="s">
        <v>34</v>
      </c>
      <c r="J791" t="s">
        <v>10</v>
      </c>
      <c r="K791" t="s">
        <v>552</v>
      </c>
      <c r="L791" t="s">
        <v>563</v>
      </c>
    </row>
    <row r="792" spans="1:12" x14ac:dyDescent="0.3">
      <c r="A792" t="s">
        <v>354</v>
      </c>
      <c r="B792">
        <v>446</v>
      </c>
      <c r="C792">
        <v>53</v>
      </c>
      <c r="D792">
        <v>1338</v>
      </c>
      <c r="E792">
        <f>SUM(Details[[#This Row],[Actual_Cost]],Details[[#This Row],[Profit]])</f>
        <v>1391</v>
      </c>
      <c r="F792">
        <v>3</v>
      </c>
      <c r="G792">
        <f>PRODUCT(Details[[#This Row],[Selling_Cost]],Details[[#This Row],[Quantity]])</f>
        <v>4173</v>
      </c>
      <c r="H792" t="s">
        <v>13</v>
      </c>
      <c r="I792" t="s">
        <v>20</v>
      </c>
      <c r="J792" t="s">
        <v>10</v>
      </c>
      <c r="K792" t="s">
        <v>569</v>
      </c>
      <c r="L792" t="s">
        <v>546</v>
      </c>
    </row>
    <row r="793" spans="1:12" x14ac:dyDescent="0.3">
      <c r="A793" t="s">
        <v>130</v>
      </c>
      <c r="B793">
        <v>154</v>
      </c>
      <c r="C793">
        <v>54</v>
      </c>
      <c r="D793">
        <v>462</v>
      </c>
      <c r="E793">
        <f>SUM(Details[[#This Row],[Actual_Cost]],Details[[#This Row],[Profit]])</f>
        <v>516</v>
      </c>
      <c r="F793">
        <v>3</v>
      </c>
      <c r="G793">
        <f>PRODUCT(Details[[#This Row],[Selling_Cost]],Details[[#This Row],[Quantity]])</f>
        <v>1548</v>
      </c>
      <c r="H793" t="s">
        <v>8</v>
      </c>
      <c r="I793" t="s">
        <v>48</v>
      </c>
      <c r="J793" t="s">
        <v>10</v>
      </c>
      <c r="K793" t="s">
        <v>592</v>
      </c>
      <c r="L793" t="s">
        <v>563</v>
      </c>
    </row>
    <row r="794" spans="1:12" x14ac:dyDescent="0.3">
      <c r="A794" t="s">
        <v>84</v>
      </c>
      <c r="B794">
        <v>162</v>
      </c>
      <c r="C794">
        <v>55</v>
      </c>
      <c r="D794">
        <v>486</v>
      </c>
      <c r="E794">
        <f>SUM(Details[[#This Row],[Actual_Cost]],Details[[#This Row],[Profit]])</f>
        <v>541</v>
      </c>
      <c r="F794">
        <v>3</v>
      </c>
      <c r="G794">
        <f>PRODUCT(Details[[#This Row],[Selling_Cost]],Details[[#This Row],[Quantity]])</f>
        <v>1623</v>
      </c>
      <c r="H794" t="s">
        <v>8</v>
      </c>
      <c r="I794" t="s">
        <v>29</v>
      </c>
      <c r="J794" t="s">
        <v>10</v>
      </c>
      <c r="K794" t="s">
        <v>641</v>
      </c>
      <c r="L794" t="s">
        <v>541</v>
      </c>
    </row>
    <row r="795" spans="1:12" x14ac:dyDescent="0.3">
      <c r="A795" t="s">
        <v>393</v>
      </c>
      <c r="B795">
        <v>155</v>
      </c>
      <c r="C795">
        <v>56</v>
      </c>
      <c r="D795">
        <v>465</v>
      </c>
      <c r="E795">
        <f>SUM(Details[[#This Row],[Actual_Cost]],Details[[#This Row],[Profit]])</f>
        <v>521</v>
      </c>
      <c r="F795">
        <v>3</v>
      </c>
      <c r="G795">
        <f>PRODUCT(Details[[#This Row],[Selling_Cost]],Details[[#This Row],[Quantity]])</f>
        <v>1563</v>
      </c>
      <c r="H795" t="s">
        <v>16</v>
      </c>
      <c r="I795" t="s">
        <v>32</v>
      </c>
      <c r="J795" t="s">
        <v>125</v>
      </c>
      <c r="K795" t="s">
        <v>592</v>
      </c>
      <c r="L795" t="s">
        <v>585</v>
      </c>
    </row>
    <row r="796" spans="1:12" x14ac:dyDescent="0.3">
      <c r="A796" t="s">
        <v>225</v>
      </c>
      <c r="B796">
        <v>168</v>
      </c>
      <c r="C796">
        <v>56</v>
      </c>
      <c r="D796">
        <v>504</v>
      </c>
      <c r="E796">
        <f>SUM(Details[[#This Row],[Actual_Cost]],Details[[#This Row],[Profit]])</f>
        <v>560</v>
      </c>
      <c r="F796">
        <v>3</v>
      </c>
      <c r="G796">
        <f>PRODUCT(Details[[#This Row],[Selling_Cost]],Details[[#This Row],[Quantity]])</f>
        <v>1680</v>
      </c>
      <c r="H796" t="s">
        <v>8</v>
      </c>
      <c r="I796" t="s">
        <v>9</v>
      </c>
      <c r="J796" t="s">
        <v>10</v>
      </c>
      <c r="K796" t="s">
        <v>548</v>
      </c>
      <c r="L796" t="s">
        <v>550</v>
      </c>
    </row>
    <row r="797" spans="1:12" x14ac:dyDescent="0.3">
      <c r="A797" t="s">
        <v>183</v>
      </c>
      <c r="B797">
        <v>224</v>
      </c>
      <c r="C797">
        <v>58</v>
      </c>
      <c r="D797">
        <v>672</v>
      </c>
      <c r="E797">
        <f>SUM(Details[[#This Row],[Actual_Cost]],Details[[#This Row],[Profit]])</f>
        <v>730</v>
      </c>
      <c r="F797">
        <v>3</v>
      </c>
      <c r="G797">
        <f>PRODUCT(Details[[#This Row],[Selling_Cost]],Details[[#This Row],[Quantity]])</f>
        <v>2190</v>
      </c>
      <c r="H797" t="s">
        <v>13</v>
      </c>
      <c r="I797" t="s">
        <v>14</v>
      </c>
      <c r="J797" t="s">
        <v>18</v>
      </c>
      <c r="K797" t="s">
        <v>607</v>
      </c>
      <c r="L797" t="s">
        <v>554</v>
      </c>
    </row>
    <row r="798" spans="1:12" x14ac:dyDescent="0.3">
      <c r="A798" t="s">
        <v>40</v>
      </c>
      <c r="B798">
        <v>226</v>
      </c>
      <c r="C798">
        <v>58</v>
      </c>
      <c r="D798">
        <v>678</v>
      </c>
      <c r="E798">
        <f>SUM(Details[[#This Row],[Actual_Cost]],Details[[#This Row],[Profit]])</f>
        <v>736</v>
      </c>
      <c r="F798">
        <v>3</v>
      </c>
      <c r="G798">
        <f>PRODUCT(Details[[#This Row],[Selling_Cost]],Details[[#This Row],[Quantity]])</f>
        <v>2208</v>
      </c>
      <c r="H798" t="s">
        <v>13</v>
      </c>
      <c r="I798" t="s">
        <v>55</v>
      </c>
      <c r="J798" t="s">
        <v>10</v>
      </c>
      <c r="K798" t="s">
        <v>548</v>
      </c>
      <c r="L798" t="s">
        <v>550</v>
      </c>
    </row>
    <row r="799" spans="1:12" x14ac:dyDescent="0.3">
      <c r="A799" t="s">
        <v>403</v>
      </c>
      <c r="B799">
        <v>148</v>
      </c>
      <c r="C799">
        <v>59</v>
      </c>
      <c r="D799">
        <v>444</v>
      </c>
      <c r="E799">
        <f>SUM(Details[[#This Row],[Actual_Cost]],Details[[#This Row],[Profit]])</f>
        <v>503</v>
      </c>
      <c r="F799">
        <v>3</v>
      </c>
      <c r="G799">
        <f>PRODUCT(Details[[#This Row],[Selling_Cost]],Details[[#This Row],[Quantity]])</f>
        <v>1509</v>
      </c>
      <c r="H799" t="s">
        <v>8</v>
      </c>
      <c r="I799" t="s">
        <v>48</v>
      </c>
      <c r="J799" t="s">
        <v>10</v>
      </c>
      <c r="K799" t="s">
        <v>539</v>
      </c>
      <c r="L799" t="s">
        <v>583</v>
      </c>
    </row>
    <row r="800" spans="1:12" x14ac:dyDescent="0.3">
      <c r="A800" t="s">
        <v>375</v>
      </c>
      <c r="B800">
        <v>372</v>
      </c>
      <c r="C800">
        <v>59</v>
      </c>
      <c r="D800">
        <v>1116</v>
      </c>
      <c r="E800">
        <f>SUM(Details[[#This Row],[Actual_Cost]],Details[[#This Row],[Profit]])</f>
        <v>1175</v>
      </c>
      <c r="F800">
        <v>3</v>
      </c>
      <c r="G800">
        <f>PRODUCT(Details[[#This Row],[Selling_Cost]],Details[[#This Row],[Quantity]])</f>
        <v>3525</v>
      </c>
      <c r="H800" t="s">
        <v>13</v>
      </c>
      <c r="I800" t="s">
        <v>20</v>
      </c>
      <c r="J800" t="s">
        <v>18</v>
      </c>
      <c r="K800" t="s">
        <v>539</v>
      </c>
      <c r="L800" t="s">
        <v>550</v>
      </c>
    </row>
    <row r="801" spans="1:12" x14ac:dyDescent="0.3">
      <c r="A801" t="s">
        <v>110</v>
      </c>
      <c r="B801">
        <v>130</v>
      </c>
      <c r="C801">
        <v>61</v>
      </c>
      <c r="D801">
        <v>390</v>
      </c>
      <c r="E801">
        <f>SUM(Details[[#This Row],[Actual_Cost]],Details[[#This Row],[Profit]])</f>
        <v>451</v>
      </c>
      <c r="F801">
        <v>3</v>
      </c>
      <c r="G801">
        <f>PRODUCT(Details[[#This Row],[Selling_Cost]],Details[[#This Row],[Quantity]])</f>
        <v>1353</v>
      </c>
      <c r="H801" t="s">
        <v>8</v>
      </c>
      <c r="I801" t="s">
        <v>61</v>
      </c>
      <c r="J801" t="s">
        <v>42</v>
      </c>
      <c r="K801" t="s">
        <v>578</v>
      </c>
      <c r="L801" t="s">
        <v>544</v>
      </c>
    </row>
    <row r="802" spans="1:12" x14ac:dyDescent="0.3">
      <c r="A802" t="s">
        <v>349</v>
      </c>
      <c r="B802">
        <v>429</v>
      </c>
      <c r="C802">
        <v>61</v>
      </c>
      <c r="D802">
        <v>1287</v>
      </c>
      <c r="E802">
        <f>SUM(Details[[#This Row],[Actual_Cost]],Details[[#This Row],[Profit]])</f>
        <v>1348</v>
      </c>
      <c r="F802">
        <v>3</v>
      </c>
      <c r="G802">
        <f>PRODUCT(Details[[#This Row],[Selling_Cost]],Details[[#This Row],[Quantity]])</f>
        <v>4044</v>
      </c>
      <c r="H802" t="s">
        <v>13</v>
      </c>
      <c r="I802" t="s">
        <v>34</v>
      </c>
      <c r="J802" t="s">
        <v>27</v>
      </c>
      <c r="K802" t="s">
        <v>610</v>
      </c>
      <c r="L802" t="s">
        <v>544</v>
      </c>
    </row>
    <row r="803" spans="1:12" x14ac:dyDescent="0.3">
      <c r="A803" t="s">
        <v>404</v>
      </c>
      <c r="B803">
        <v>1246</v>
      </c>
      <c r="C803">
        <v>62</v>
      </c>
      <c r="D803">
        <v>3738</v>
      </c>
      <c r="E803">
        <f>SUM(Details[[#This Row],[Actual_Cost]],Details[[#This Row],[Profit]])</f>
        <v>3800</v>
      </c>
      <c r="F803">
        <v>3</v>
      </c>
      <c r="G803">
        <f>PRODUCT(Details[[#This Row],[Selling_Cost]],Details[[#This Row],[Quantity]])</f>
        <v>11400</v>
      </c>
      <c r="H803" t="s">
        <v>16</v>
      </c>
      <c r="I803" t="s">
        <v>17</v>
      </c>
      <c r="J803" t="s">
        <v>125</v>
      </c>
      <c r="K803" t="s">
        <v>587</v>
      </c>
      <c r="L803" t="s">
        <v>550</v>
      </c>
    </row>
    <row r="804" spans="1:12" x14ac:dyDescent="0.3">
      <c r="A804" t="s">
        <v>153</v>
      </c>
      <c r="B804">
        <v>137</v>
      </c>
      <c r="C804">
        <v>63</v>
      </c>
      <c r="D804">
        <v>411</v>
      </c>
      <c r="E804">
        <f>SUM(Details[[#This Row],[Actual_Cost]],Details[[#This Row],[Profit]])</f>
        <v>474</v>
      </c>
      <c r="F804">
        <v>3</v>
      </c>
      <c r="G804">
        <f>PRODUCT(Details[[#This Row],[Selling_Cost]],Details[[#This Row],[Quantity]])</f>
        <v>1422</v>
      </c>
      <c r="H804" t="s">
        <v>8</v>
      </c>
      <c r="I804" t="s">
        <v>29</v>
      </c>
      <c r="J804" t="s">
        <v>10</v>
      </c>
      <c r="K804" t="s">
        <v>632</v>
      </c>
      <c r="L804" t="s">
        <v>541</v>
      </c>
    </row>
    <row r="805" spans="1:12" x14ac:dyDescent="0.3">
      <c r="A805" t="s">
        <v>348</v>
      </c>
      <c r="B805">
        <v>228</v>
      </c>
      <c r="C805">
        <v>63</v>
      </c>
      <c r="D805">
        <v>684</v>
      </c>
      <c r="E805">
        <f>SUM(Details[[#This Row],[Actual_Cost]],Details[[#This Row],[Profit]])</f>
        <v>747</v>
      </c>
      <c r="F805">
        <v>3</v>
      </c>
      <c r="G805">
        <f>PRODUCT(Details[[#This Row],[Selling_Cost]],Details[[#This Row],[Quantity]])</f>
        <v>2241</v>
      </c>
      <c r="H805" t="s">
        <v>13</v>
      </c>
      <c r="I805" t="s">
        <v>34</v>
      </c>
      <c r="J805" t="s">
        <v>27</v>
      </c>
      <c r="K805" t="s">
        <v>552</v>
      </c>
      <c r="L805" t="s">
        <v>565</v>
      </c>
    </row>
    <row r="806" spans="1:12" x14ac:dyDescent="0.3">
      <c r="A806" t="s">
        <v>405</v>
      </c>
      <c r="B806">
        <v>382</v>
      </c>
      <c r="C806">
        <v>68</v>
      </c>
      <c r="D806">
        <v>1146</v>
      </c>
      <c r="E806">
        <f>SUM(Details[[#This Row],[Actual_Cost]],Details[[#This Row],[Profit]])</f>
        <v>1214</v>
      </c>
      <c r="F806">
        <v>3</v>
      </c>
      <c r="G806">
        <f>PRODUCT(Details[[#This Row],[Selling_Cost]],Details[[#This Row],[Quantity]])</f>
        <v>3642</v>
      </c>
      <c r="H806" t="s">
        <v>8</v>
      </c>
      <c r="I806" t="s">
        <v>9</v>
      </c>
      <c r="J806" t="s">
        <v>10</v>
      </c>
      <c r="K806" t="s">
        <v>548</v>
      </c>
      <c r="L806" t="s">
        <v>541</v>
      </c>
    </row>
    <row r="807" spans="1:12" x14ac:dyDescent="0.3">
      <c r="A807" t="s">
        <v>406</v>
      </c>
      <c r="B807">
        <v>158</v>
      </c>
      <c r="C807">
        <v>69</v>
      </c>
      <c r="D807">
        <v>474</v>
      </c>
      <c r="E807">
        <f>SUM(Details[[#This Row],[Actual_Cost]],Details[[#This Row],[Profit]])</f>
        <v>543</v>
      </c>
      <c r="F807">
        <v>3</v>
      </c>
      <c r="G807">
        <f>PRODUCT(Details[[#This Row],[Selling_Cost]],Details[[#This Row],[Quantity]])</f>
        <v>1629</v>
      </c>
      <c r="H807" t="s">
        <v>8</v>
      </c>
      <c r="I807" t="s">
        <v>29</v>
      </c>
      <c r="J807" t="s">
        <v>125</v>
      </c>
      <c r="K807" t="s">
        <v>561</v>
      </c>
      <c r="L807" t="s">
        <v>541</v>
      </c>
    </row>
    <row r="808" spans="1:12" x14ac:dyDescent="0.3">
      <c r="A808" t="s">
        <v>284</v>
      </c>
      <c r="B808">
        <v>158</v>
      </c>
      <c r="C808">
        <v>69</v>
      </c>
      <c r="D808">
        <v>474</v>
      </c>
      <c r="E808">
        <f>SUM(Details[[#This Row],[Actual_Cost]],Details[[#This Row],[Profit]])</f>
        <v>543</v>
      </c>
      <c r="F808">
        <v>3</v>
      </c>
      <c r="G808">
        <f>PRODUCT(Details[[#This Row],[Selling_Cost]],Details[[#This Row],[Quantity]])</f>
        <v>1629</v>
      </c>
      <c r="H808" t="s">
        <v>8</v>
      </c>
      <c r="I808" t="s">
        <v>29</v>
      </c>
      <c r="J808" t="s">
        <v>125</v>
      </c>
      <c r="K808" t="s">
        <v>632</v>
      </c>
      <c r="L808" t="s">
        <v>565</v>
      </c>
    </row>
    <row r="809" spans="1:12" x14ac:dyDescent="0.3">
      <c r="A809" t="s">
        <v>379</v>
      </c>
      <c r="B809">
        <v>173</v>
      </c>
      <c r="C809">
        <v>69</v>
      </c>
      <c r="D809">
        <v>519</v>
      </c>
      <c r="E809">
        <f>SUM(Details[[#This Row],[Actual_Cost]],Details[[#This Row],[Profit]])</f>
        <v>588</v>
      </c>
      <c r="F809">
        <v>3</v>
      </c>
      <c r="G809">
        <f>PRODUCT(Details[[#This Row],[Selling_Cost]],Details[[#This Row],[Quantity]])</f>
        <v>1764</v>
      </c>
      <c r="H809" t="s">
        <v>16</v>
      </c>
      <c r="I809" t="s">
        <v>23</v>
      </c>
      <c r="J809" t="s">
        <v>10</v>
      </c>
      <c r="K809" t="s">
        <v>552</v>
      </c>
      <c r="L809" t="s">
        <v>546</v>
      </c>
    </row>
    <row r="810" spans="1:12" x14ac:dyDescent="0.3">
      <c r="A810" t="s">
        <v>224</v>
      </c>
      <c r="B810">
        <v>336</v>
      </c>
      <c r="C810">
        <v>71</v>
      </c>
      <c r="D810">
        <v>1008</v>
      </c>
      <c r="E810">
        <f>SUM(Details[[#This Row],[Actual_Cost]],Details[[#This Row],[Profit]])</f>
        <v>1079</v>
      </c>
      <c r="F810">
        <v>3</v>
      </c>
      <c r="G810">
        <f>PRODUCT(Details[[#This Row],[Selling_Cost]],Details[[#This Row],[Quantity]])</f>
        <v>3237</v>
      </c>
      <c r="H810" t="s">
        <v>16</v>
      </c>
      <c r="I810" t="s">
        <v>17</v>
      </c>
      <c r="J810" t="s">
        <v>10</v>
      </c>
      <c r="K810" t="s">
        <v>596</v>
      </c>
      <c r="L810" t="s">
        <v>567</v>
      </c>
    </row>
    <row r="811" spans="1:12" x14ac:dyDescent="0.3">
      <c r="A811" t="s">
        <v>88</v>
      </c>
      <c r="B811">
        <v>147</v>
      </c>
      <c r="C811">
        <v>73</v>
      </c>
      <c r="D811">
        <v>441</v>
      </c>
      <c r="E811">
        <f>SUM(Details[[#This Row],[Actual_Cost]],Details[[#This Row],[Profit]])</f>
        <v>514</v>
      </c>
      <c r="F811">
        <v>3</v>
      </c>
      <c r="G811">
        <f>PRODUCT(Details[[#This Row],[Selling_Cost]],Details[[#This Row],[Quantity]])</f>
        <v>1542</v>
      </c>
      <c r="H811" t="s">
        <v>8</v>
      </c>
      <c r="I811" t="s">
        <v>29</v>
      </c>
      <c r="J811" t="s">
        <v>10</v>
      </c>
      <c r="K811" t="s">
        <v>552</v>
      </c>
      <c r="L811" t="s">
        <v>546</v>
      </c>
    </row>
    <row r="812" spans="1:12" x14ac:dyDescent="0.3">
      <c r="A812" t="s">
        <v>145</v>
      </c>
      <c r="B812">
        <v>147</v>
      </c>
      <c r="C812">
        <v>73</v>
      </c>
      <c r="D812">
        <v>441</v>
      </c>
      <c r="E812">
        <f>SUM(Details[[#This Row],[Actual_Cost]],Details[[#This Row],[Profit]])</f>
        <v>514</v>
      </c>
      <c r="F812">
        <v>3</v>
      </c>
      <c r="G812">
        <f>PRODUCT(Details[[#This Row],[Selling_Cost]],Details[[#This Row],[Quantity]])</f>
        <v>1542</v>
      </c>
      <c r="H812" t="s">
        <v>8</v>
      </c>
      <c r="I812" t="s">
        <v>29</v>
      </c>
      <c r="J812" t="s">
        <v>18</v>
      </c>
      <c r="K812" t="s">
        <v>607</v>
      </c>
      <c r="L812" t="s">
        <v>550</v>
      </c>
    </row>
    <row r="813" spans="1:12" x14ac:dyDescent="0.3">
      <c r="A813" t="s">
        <v>80</v>
      </c>
      <c r="B813">
        <v>367</v>
      </c>
      <c r="C813">
        <v>73</v>
      </c>
      <c r="D813">
        <v>1101</v>
      </c>
      <c r="E813">
        <f>SUM(Details[[#This Row],[Actual_Cost]],Details[[#This Row],[Profit]])</f>
        <v>1174</v>
      </c>
      <c r="F813">
        <v>3</v>
      </c>
      <c r="G813">
        <f>PRODUCT(Details[[#This Row],[Selling_Cost]],Details[[#This Row],[Quantity]])</f>
        <v>3522</v>
      </c>
      <c r="H813" t="s">
        <v>13</v>
      </c>
      <c r="I813" t="s">
        <v>34</v>
      </c>
      <c r="J813" t="s">
        <v>18</v>
      </c>
      <c r="K813" t="s">
        <v>552</v>
      </c>
      <c r="L813" t="s">
        <v>567</v>
      </c>
    </row>
    <row r="814" spans="1:12" x14ac:dyDescent="0.3">
      <c r="A814" t="s">
        <v>299</v>
      </c>
      <c r="B814">
        <v>307</v>
      </c>
      <c r="C814">
        <v>74</v>
      </c>
      <c r="D814">
        <v>921</v>
      </c>
      <c r="E814">
        <f>SUM(Details[[#This Row],[Actual_Cost]],Details[[#This Row],[Profit]])</f>
        <v>995</v>
      </c>
      <c r="F814">
        <v>3</v>
      </c>
      <c r="G814">
        <f>PRODUCT(Details[[#This Row],[Selling_Cost]],Details[[#This Row],[Quantity]])</f>
        <v>2985</v>
      </c>
      <c r="H814" t="s">
        <v>13</v>
      </c>
      <c r="I814" t="s">
        <v>55</v>
      </c>
      <c r="J814" t="s">
        <v>125</v>
      </c>
      <c r="K814" t="s">
        <v>587</v>
      </c>
      <c r="L814" t="s">
        <v>563</v>
      </c>
    </row>
    <row r="815" spans="1:12" x14ac:dyDescent="0.3">
      <c r="A815" t="s">
        <v>162</v>
      </c>
      <c r="B815">
        <v>175</v>
      </c>
      <c r="C815">
        <v>77</v>
      </c>
      <c r="D815">
        <v>525</v>
      </c>
      <c r="E815">
        <f>SUM(Details[[#This Row],[Actual_Cost]],Details[[#This Row],[Profit]])</f>
        <v>602</v>
      </c>
      <c r="F815">
        <v>3</v>
      </c>
      <c r="G815">
        <f>PRODUCT(Details[[#This Row],[Selling_Cost]],Details[[#This Row],[Quantity]])</f>
        <v>1806</v>
      </c>
      <c r="H815" t="s">
        <v>8</v>
      </c>
      <c r="I815" t="s">
        <v>9</v>
      </c>
      <c r="J815" t="s">
        <v>10</v>
      </c>
      <c r="K815" t="s">
        <v>592</v>
      </c>
      <c r="L815" t="s">
        <v>583</v>
      </c>
    </row>
    <row r="816" spans="1:12" x14ac:dyDescent="0.3">
      <c r="A816" t="s">
        <v>57</v>
      </c>
      <c r="B816">
        <v>887</v>
      </c>
      <c r="C816">
        <v>80</v>
      </c>
      <c r="D816">
        <v>2661</v>
      </c>
      <c r="E816">
        <f>SUM(Details[[#This Row],[Actual_Cost]],Details[[#This Row],[Profit]])</f>
        <v>2741</v>
      </c>
      <c r="F816">
        <v>3</v>
      </c>
      <c r="G816">
        <f>PRODUCT(Details[[#This Row],[Selling_Cost]],Details[[#This Row],[Quantity]])</f>
        <v>8223</v>
      </c>
      <c r="H816" t="s">
        <v>13</v>
      </c>
      <c r="I816" t="s">
        <v>20</v>
      </c>
      <c r="J816" t="s">
        <v>18</v>
      </c>
      <c r="K816" t="s">
        <v>610</v>
      </c>
      <c r="L816" t="s">
        <v>585</v>
      </c>
    </row>
    <row r="817" spans="1:12" x14ac:dyDescent="0.3">
      <c r="A817" t="s">
        <v>354</v>
      </c>
      <c r="B817">
        <v>366</v>
      </c>
      <c r="C817">
        <v>84</v>
      </c>
      <c r="D817">
        <v>1098</v>
      </c>
      <c r="E817">
        <f>SUM(Details[[#This Row],[Actual_Cost]],Details[[#This Row],[Profit]])</f>
        <v>1182</v>
      </c>
      <c r="F817">
        <v>3</v>
      </c>
      <c r="G817">
        <f>PRODUCT(Details[[#This Row],[Selling_Cost]],Details[[#This Row],[Quantity]])</f>
        <v>3546</v>
      </c>
      <c r="H817" t="s">
        <v>16</v>
      </c>
      <c r="I817" t="s">
        <v>17</v>
      </c>
      <c r="J817" t="s">
        <v>10</v>
      </c>
      <c r="K817" t="s">
        <v>569</v>
      </c>
      <c r="L817" t="s">
        <v>546</v>
      </c>
    </row>
    <row r="818" spans="1:12" x14ac:dyDescent="0.3">
      <c r="A818" t="s">
        <v>245</v>
      </c>
      <c r="B818">
        <v>1700</v>
      </c>
      <c r="C818">
        <v>85</v>
      </c>
      <c r="D818">
        <v>5100</v>
      </c>
      <c r="E818">
        <f>SUM(Details[[#This Row],[Actual_Cost]],Details[[#This Row],[Profit]])</f>
        <v>5185</v>
      </c>
      <c r="F818">
        <v>3</v>
      </c>
      <c r="G818">
        <f>PRODUCT(Details[[#This Row],[Selling_Cost]],Details[[#This Row],[Quantity]])</f>
        <v>15555</v>
      </c>
      <c r="H818" t="s">
        <v>8</v>
      </c>
      <c r="I818" t="s">
        <v>41</v>
      </c>
      <c r="J818" t="s">
        <v>10</v>
      </c>
      <c r="K818" t="s">
        <v>548</v>
      </c>
      <c r="L818" t="s">
        <v>550</v>
      </c>
    </row>
    <row r="819" spans="1:12" x14ac:dyDescent="0.3">
      <c r="A819" t="s">
        <v>273</v>
      </c>
      <c r="B819">
        <v>409</v>
      </c>
      <c r="C819">
        <v>86</v>
      </c>
      <c r="D819">
        <v>1227</v>
      </c>
      <c r="E819">
        <f>SUM(Details[[#This Row],[Actual_Cost]],Details[[#This Row],[Profit]])</f>
        <v>1313</v>
      </c>
      <c r="F819">
        <v>3</v>
      </c>
      <c r="G819">
        <f>PRODUCT(Details[[#This Row],[Selling_Cost]],Details[[#This Row],[Quantity]])</f>
        <v>3939</v>
      </c>
      <c r="H819" t="s">
        <v>8</v>
      </c>
      <c r="I819" t="s">
        <v>9</v>
      </c>
      <c r="J819" t="s">
        <v>10</v>
      </c>
      <c r="K819" t="s">
        <v>641</v>
      </c>
      <c r="L819" t="s">
        <v>541</v>
      </c>
    </row>
    <row r="820" spans="1:12" x14ac:dyDescent="0.3">
      <c r="A820" t="s">
        <v>174</v>
      </c>
      <c r="B820">
        <v>224</v>
      </c>
      <c r="C820">
        <v>87</v>
      </c>
      <c r="D820">
        <v>672</v>
      </c>
      <c r="E820">
        <f>SUM(Details[[#This Row],[Actual_Cost]],Details[[#This Row],[Profit]])</f>
        <v>759</v>
      </c>
      <c r="F820">
        <v>3</v>
      </c>
      <c r="G820">
        <f>PRODUCT(Details[[#This Row],[Selling_Cost]],Details[[#This Row],[Quantity]])</f>
        <v>2277</v>
      </c>
      <c r="H820" t="s">
        <v>8</v>
      </c>
      <c r="I820" t="s">
        <v>41</v>
      </c>
      <c r="J820" t="s">
        <v>10</v>
      </c>
      <c r="K820" t="s">
        <v>592</v>
      </c>
      <c r="L820" t="s">
        <v>541</v>
      </c>
    </row>
    <row r="821" spans="1:12" x14ac:dyDescent="0.3">
      <c r="A821" t="s">
        <v>84</v>
      </c>
      <c r="B821">
        <v>594</v>
      </c>
      <c r="C821">
        <v>89</v>
      </c>
      <c r="D821">
        <v>1782</v>
      </c>
      <c r="E821">
        <f>SUM(Details[[#This Row],[Actual_Cost]],Details[[#This Row],[Profit]])</f>
        <v>1871</v>
      </c>
      <c r="F821">
        <v>3</v>
      </c>
      <c r="G821">
        <f>PRODUCT(Details[[#This Row],[Selling_Cost]],Details[[#This Row],[Quantity]])</f>
        <v>5613</v>
      </c>
      <c r="H821" t="s">
        <v>16</v>
      </c>
      <c r="I821" t="s">
        <v>17</v>
      </c>
      <c r="J821" t="s">
        <v>10</v>
      </c>
      <c r="K821" t="s">
        <v>641</v>
      </c>
      <c r="L821" t="s">
        <v>541</v>
      </c>
    </row>
    <row r="822" spans="1:12" x14ac:dyDescent="0.3">
      <c r="A822" t="s">
        <v>259</v>
      </c>
      <c r="B822">
        <v>833</v>
      </c>
      <c r="C822">
        <v>93</v>
      </c>
      <c r="D822">
        <v>2499</v>
      </c>
      <c r="E822">
        <f>SUM(Details[[#This Row],[Actual_Cost]],Details[[#This Row],[Profit]])</f>
        <v>2592</v>
      </c>
      <c r="F822">
        <v>3</v>
      </c>
      <c r="G822">
        <f>PRODUCT(Details[[#This Row],[Selling_Cost]],Details[[#This Row],[Quantity]])</f>
        <v>7776</v>
      </c>
      <c r="H822" t="s">
        <v>8</v>
      </c>
      <c r="I822" t="s">
        <v>41</v>
      </c>
      <c r="J822" t="s">
        <v>18</v>
      </c>
      <c r="K822" t="s">
        <v>587</v>
      </c>
      <c r="L822" t="s">
        <v>544</v>
      </c>
    </row>
    <row r="823" spans="1:12" x14ac:dyDescent="0.3">
      <c r="A823" t="s">
        <v>233</v>
      </c>
      <c r="B823">
        <v>954</v>
      </c>
      <c r="C823">
        <v>95</v>
      </c>
      <c r="D823">
        <v>2862</v>
      </c>
      <c r="E823">
        <f>SUM(Details[[#This Row],[Actual_Cost]],Details[[#This Row],[Profit]])</f>
        <v>2957</v>
      </c>
      <c r="F823">
        <v>3</v>
      </c>
      <c r="G823">
        <f>PRODUCT(Details[[#This Row],[Selling_Cost]],Details[[#This Row],[Quantity]])</f>
        <v>8871</v>
      </c>
      <c r="H823" t="s">
        <v>13</v>
      </c>
      <c r="I823" t="s">
        <v>20</v>
      </c>
      <c r="J823" t="s">
        <v>18</v>
      </c>
      <c r="K823" t="s">
        <v>548</v>
      </c>
      <c r="L823" t="s">
        <v>546</v>
      </c>
    </row>
    <row r="824" spans="1:12" x14ac:dyDescent="0.3">
      <c r="A824" t="s">
        <v>57</v>
      </c>
      <c r="B824">
        <v>44</v>
      </c>
      <c r="C824">
        <v>99</v>
      </c>
      <c r="D824">
        <v>132</v>
      </c>
      <c r="E824">
        <f>SUM(Details[[#This Row],[Actual_Cost]],Details[[#This Row],[Profit]])</f>
        <v>231</v>
      </c>
      <c r="F824">
        <v>3</v>
      </c>
      <c r="G824">
        <f>PRODUCT(Details[[#This Row],[Selling_Cost]],Details[[#This Row],[Quantity]])</f>
        <v>693</v>
      </c>
      <c r="H824" t="s">
        <v>8</v>
      </c>
      <c r="I824" t="s">
        <v>44</v>
      </c>
      <c r="J824" t="s">
        <v>42</v>
      </c>
      <c r="K824" t="s">
        <v>610</v>
      </c>
      <c r="L824" t="s">
        <v>585</v>
      </c>
    </row>
    <row r="825" spans="1:12" x14ac:dyDescent="0.3">
      <c r="A825" t="s">
        <v>121</v>
      </c>
      <c r="B825">
        <v>250</v>
      </c>
      <c r="C825">
        <v>100</v>
      </c>
      <c r="D825">
        <v>750</v>
      </c>
      <c r="E825">
        <f>SUM(Details[[#This Row],[Actual_Cost]],Details[[#This Row],[Profit]])</f>
        <v>850</v>
      </c>
      <c r="F825">
        <v>3</v>
      </c>
      <c r="G825">
        <f>PRODUCT(Details[[#This Row],[Selling_Cost]],Details[[#This Row],[Quantity]])</f>
        <v>2550</v>
      </c>
      <c r="H825" t="s">
        <v>8</v>
      </c>
      <c r="I825" t="s">
        <v>41</v>
      </c>
      <c r="J825" t="s">
        <v>10</v>
      </c>
      <c r="K825" t="s">
        <v>632</v>
      </c>
      <c r="L825" t="s">
        <v>546</v>
      </c>
    </row>
    <row r="826" spans="1:12" x14ac:dyDescent="0.3">
      <c r="A826" t="s">
        <v>407</v>
      </c>
      <c r="B826">
        <v>326</v>
      </c>
      <c r="C826">
        <v>107</v>
      </c>
      <c r="D826">
        <v>978</v>
      </c>
      <c r="E826">
        <f>SUM(Details[[#This Row],[Actual_Cost]],Details[[#This Row],[Profit]])</f>
        <v>1085</v>
      </c>
      <c r="F826">
        <v>3</v>
      </c>
      <c r="G826">
        <f>PRODUCT(Details[[#This Row],[Selling_Cost]],Details[[#This Row],[Quantity]])</f>
        <v>3255</v>
      </c>
      <c r="H826" t="s">
        <v>16</v>
      </c>
      <c r="I826" t="s">
        <v>32</v>
      </c>
      <c r="J826" t="s">
        <v>18</v>
      </c>
      <c r="K826" t="s">
        <v>626</v>
      </c>
      <c r="L826" t="s">
        <v>544</v>
      </c>
    </row>
    <row r="827" spans="1:12" x14ac:dyDescent="0.3">
      <c r="A827" t="s">
        <v>313</v>
      </c>
      <c r="B827">
        <v>365</v>
      </c>
      <c r="C827">
        <v>107</v>
      </c>
      <c r="D827">
        <v>1095</v>
      </c>
      <c r="E827">
        <f>SUM(Details[[#This Row],[Actual_Cost]],Details[[#This Row],[Profit]])</f>
        <v>1202</v>
      </c>
      <c r="F827">
        <v>3</v>
      </c>
      <c r="G827">
        <f>PRODUCT(Details[[#This Row],[Selling_Cost]],Details[[#This Row],[Quantity]])</f>
        <v>3606</v>
      </c>
      <c r="H827" t="s">
        <v>13</v>
      </c>
      <c r="I827" t="s">
        <v>14</v>
      </c>
      <c r="J827" t="s">
        <v>10</v>
      </c>
      <c r="K827" t="s">
        <v>548</v>
      </c>
      <c r="L827" t="s">
        <v>546</v>
      </c>
    </row>
    <row r="828" spans="1:12" x14ac:dyDescent="0.3">
      <c r="A828" t="s">
        <v>86</v>
      </c>
      <c r="B828">
        <v>537</v>
      </c>
      <c r="C828">
        <v>107</v>
      </c>
      <c r="D828">
        <v>1611</v>
      </c>
      <c r="E828">
        <f>SUM(Details[[#This Row],[Actual_Cost]],Details[[#This Row],[Profit]])</f>
        <v>1718</v>
      </c>
      <c r="F828">
        <v>3</v>
      </c>
      <c r="G828">
        <f>PRODUCT(Details[[#This Row],[Selling_Cost]],Details[[#This Row],[Quantity]])</f>
        <v>5154</v>
      </c>
      <c r="H828" t="s">
        <v>8</v>
      </c>
      <c r="I828" t="s">
        <v>9</v>
      </c>
      <c r="J828" t="s">
        <v>10</v>
      </c>
      <c r="K828" t="s">
        <v>587</v>
      </c>
      <c r="L828" t="s">
        <v>563</v>
      </c>
    </row>
    <row r="829" spans="1:12" x14ac:dyDescent="0.3">
      <c r="A829" t="s">
        <v>408</v>
      </c>
      <c r="B829">
        <v>346</v>
      </c>
      <c r="C829">
        <v>108</v>
      </c>
      <c r="D829">
        <v>1038</v>
      </c>
      <c r="E829">
        <f>SUM(Details[[#This Row],[Actual_Cost]],Details[[#This Row],[Profit]])</f>
        <v>1146</v>
      </c>
      <c r="F829">
        <v>3</v>
      </c>
      <c r="G829">
        <f>PRODUCT(Details[[#This Row],[Selling_Cost]],Details[[#This Row],[Quantity]])</f>
        <v>3438</v>
      </c>
      <c r="H829" t="s">
        <v>16</v>
      </c>
      <c r="I829" t="s">
        <v>23</v>
      </c>
      <c r="J829" t="s">
        <v>10</v>
      </c>
      <c r="K829" t="s">
        <v>548</v>
      </c>
      <c r="L829" t="s">
        <v>546</v>
      </c>
    </row>
    <row r="830" spans="1:12" x14ac:dyDescent="0.3">
      <c r="A830" t="s">
        <v>154</v>
      </c>
      <c r="B830">
        <v>269</v>
      </c>
      <c r="C830">
        <v>111</v>
      </c>
      <c r="D830">
        <v>807</v>
      </c>
      <c r="E830">
        <f>SUM(Details[[#This Row],[Actual_Cost]],Details[[#This Row],[Profit]])</f>
        <v>918</v>
      </c>
      <c r="F830">
        <v>3</v>
      </c>
      <c r="G830">
        <f>PRODUCT(Details[[#This Row],[Selling_Cost]],Details[[#This Row],[Quantity]])</f>
        <v>2754</v>
      </c>
      <c r="H830" t="s">
        <v>8</v>
      </c>
      <c r="I830" t="s">
        <v>41</v>
      </c>
      <c r="J830" t="s">
        <v>125</v>
      </c>
      <c r="K830" t="s">
        <v>548</v>
      </c>
      <c r="L830" t="s">
        <v>624</v>
      </c>
    </row>
    <row r="831" spans="1:12" x14ac:dyDescent="0.3">
      <c r="A831" t="s">
        <v>409</v>
      </c>
      <c r="B831">
        <v>504</v>
      </c>
      <c r="C831">
        <v>116</v>
      </c>
      <c r="D831">
        <v>1512</v>
      </c>
      <c r="E831">
        <f>SUM(Details[[#This Row],[Actual_Cost]],Details[[#This Row],[Profit]])</f>
        <v>1628</v>
      </c>
      <c r="F831">
        <v>3</v>
      </c>
      <c r="G831">
        <f>PRODUCT(Details[[#This Row],[Selling_Cost]],Details[[#This Row],[Quantity]])</f>
        <v>4884</v>
      </c>
      <c r="H831" t="s">
        <v>16</v>
      </c>
      <c r="I831" t="s">
        <v>17</v>
      </c>
      <c r="J831" t="s">
        <v>10</v>
      </c>
      <c r="K831" t="s">
        <v>548</v>
      </c>
      <c r="L831" t="s">
        <v>563</v>
      </c>
    </row>
    <row r="832" spans="1:12" x14ac:dyDescent="0.3">
      <c r="A832" t="s">
        <v>410</v>
      </c>
      <c r="B832">
        <v>336</v>
      </c>
      <c r="C832">
        <v>123</v>
      </c>
      <c r="D832">
        <v>1008</v>
      </c>
      <c r="E832">
        <f>SUM(Details[[#This Row],[Actual_Cost]],Details[[#This Row],[Profit]])</f>
        <v>1131</v>
      </c>
      <c r="F832">
        <v>3</v>
      </c>
      <c r="G832">
        <f>PRODUCT(Details[[#This Row],[Selling_Cost]],Details[[#This Row],[Quantity]])</f>
        <v>3393</v>
      </c>
      <c r="H832" t="s">
        <v>13</v>
      </c>
      <c r="I832" t="s">
        <v>14</v>
      </c>
      <c r="J832" t="s">
        <v>18</v>
      </c>
      <c r="K832" t="s">
        <v>711</v>
      </c>
      <c r="L832" t="s">
        <v>567</v>
      </c>
    </row>
    <row r="833" spans="1:12" x14ac:dyDescent="0.3">
      <c r="A833" t="s">
        <v>280</v>
      </c>
      <c r="B833">
        <v>149</v>
      </c>
      <c r="C833">
        <v>136</v>
      </c>
      <c r="D833">
        <v>447</v>
      </c>
      <c r="E833">
        <f>SUM(Details[[#This Row],[Actual_Cost]],Details[[#This Row],[Profit]])</f>
        <v>583</v>
      </c>
      <c r="F833">
        <v>3</v>
      </c>
      <c r="G833">
        <f>PRODUCT(Details[[#This Row],[Selling_Cost]],Details[[#This Row],[Quantity]])</f>
        <v>1749</v>
      </c>
      <c r="H833" t="s">
        <v>8</v>
      </c>
      <c r="I833" t="s">
        <v>29</v>
      </c>
      <c r="J833" t="s">
        <v>18</v>
      </c>
      <c r="K833" t="s">
        <v>548</v>
      </c>
      <c r="L833" t="s">
        <v>585</v>
      </c>
    </row>
    <row r="834" spans="1:12" x14ac:dyDescent="0.3">
      <c r="A834" t="s">
        <v>411</v>
      </c>
      <c r="B834">
        <v>416</v>
      </c>
      <c r="C834">
        <v>137</v>
      </c>
      <c r="D834">
        <v>1248</v>
      </c>
      <c r="E834">
        <f>SUM(Details[[#This Row],[Actual_Cost]],Details[[#This Row],[Profit]])</f>
        <v>1385</v>
      </c>
      <c r="F834">
        <v>3</v>
      </c>
      <c r="G834">
        <f>PRODUCT(Details[[#This Row],[Selling_Cost]],Details[[#This Row],[Quantity]])</f>
        <v>4155</v>
      </c>
      <c r="H834" t="s">
        <v>13</v>
      </c>
      <c r="I834" t="s">
        <v>14</v>
      </c>
      <c r="J834" t="s">
        <v>42</v>
      </c>
      <c r="K834" t="s">
        <v>641</v>
      </c>
      <c r="L834" t="s">
        <v>614</v>
      </c>
    </row>
    <row r="835" spans="1:12" x14ac:dyDescent="0.3">
      <c r="A835" t="s">
        <v>246</v>
      </c>
      <c r="B835">
        <v>529</v>
      </c>
      <c r="C835">
        <v>137</v>
      </c>
      <c r="D835">
        <v>1587</v>
      </c>
      <c r="E835">
        <f>SUM(Details[[#This Row],[Actual_Cost]],Details[[#This Row],[Profit]])</f>
        <v>1724</v>
      </c>
      <c r="F835">
        <v>3</v>
      </c>
      <c r="G835">
        <f>PRODUCT(Details[[#This Row],[Selling_Cost]],Details[[#This Row],[Quantity]])</f>
        <v>5172</v>
      </c>
      <c r="H835" t="s">
        <v>13</v>
      </c>
      <c r="I835" t="s">
        <v>14</v>
      </c>
      <c r="J835" t="s">
        <v>42</v>
      </c>
      <c r="K835" t="s">
        <v>552</v>
      </c>
      <c r="L835" t="s">
        <v>585</v>
      </c>
    </row>
    <row r="836" spans="1:12" x14ac:dyDescent="0.3">
      <c r="A836" t="s">
        <v>244</v>
      </c>
      <c r="B836">
        <v>579</v>
      </c>
      <c r="C836">
        <v>139</v>
      </c>
      <c r="D836">
        <v>1737</v>
      </c>
      <c r="E836">
        <f>SUM(Details[[#This Row],[Actual_Cost]],Details[[#This Row],[Profit]])</f>
        <v>1876</v>
      </c>
      <c r="F836">
        <v>3</v>
      </c>
      <c r="G836">
        <f>PRODUCT(Details[[#This Row],[Selling_Cost]],Details[[#This Row],[Quantity]])</f>
        <v>5628</v>
      </c>
      <c r="H836" t="s">
        <v>13</v>
      </c>
      <c r="I836" t="s">
        <v>20</v>
      </c>
      <c r="J836" t="s">
        <v>42</v>
      </c>
      <c r="K836" t="s">
        <v>569</v>
      </c>
      <c r="L836" t="s">
        <v>567</v>
      </c>
    </row>
    <row r="837" spans="1:12" x14ac:dyDescent="0.3">
      <c r="A837" t="s">
        <v>384</v>
      </c>
      <c r="B837">
        <v>520</v>
      </c>
      <c r="C837">
        <v>151</v>
      </c>
      <c r="D837">
        <v>1560</v>
      </c>
      <c r="E837">
        <f>SUM(Details[[#This Row],[Actual_Cost]],Details[[#This Row],[Profit]])</f>
        <v>1711</v>
      </c>
      <c r="F837">
        <v>3</v>
      </c>
      <c r="G837">
        <f>PRODUCT(Details[[#This Row],[Selling_Cost]],Details[[#This Row],[Quantity]])</f>
        <v>5133</v>
      </c>
      <c r="H837" t="s">
        <v>13</v>
      </c>
      <c r="I837" t="s">
        <v>14</v>
      </c>
      <c r="J837" t="s">
        <v>27</v>
      </c>
      <c r="K837" t="s">
        <v>641</v>
      </c>
      <c r="L837" t="s">
        <v>544</v>
      </c>
    </row>
    <row r="838" spans="1:12" x14ac:dyDescent="0.3">
      <c r="A838" t="s">
        <v>412</v>
      </c>
      <c r="B838">
        <v>676</v>
      </c>
      <c r="C838">
        <v>151</v>
      </c>
      <c r="D838">
        <v>2028</v>
      </c>
      <c r="E838">
        <f>SUM(Details[[#This Row],[Actual_Cost]],Details[[#This Row],[Profit]])</f>
        <v>2179</v>
      </c>
      <c r="F838">
        <v>3</v>
      </c>
      <c r="G838">
        <f>PRODUCT(Details[[#This Row],[Selling_Cost]],Details[[#This Row],[Quantity]])</f>
        <v>6537</v>
      </c>
      <c r="H838" t="s">
        <v>13</v>
      </c>
      <c r="I838" t="s">
        <v>20</v>
      </c>
      <c r="J838" t="s">
        <v>27</v>
      </c>
      <c r="K838" t="s">
        <v>543</v>
      </c>
      <c r="L838" t="s">
        <v>544</v>
      </c>
    </row>
    <row r="839" spans="1:12" x14ac:dyDescent="0.3">
      <c r="A839" t="s">
        <v>64</v>
      </c>
      <c r="B839">
        <v>207</v>
      </c>
      <c r="C839">
        <v>153</v>
      </c>
      <c r="D839">
        <v>621</v>
      </c>
      <c r="E839">
        <f>SUM(Details[[#This Row],[Actual_Cost]],Details[[#This Row],[Profit]])</f>
        <v>774</v>
      </c>
      <c r="F839">
        <v>3</v>
      </c>
      <c r="G839">
        <f>PRODUCT(Details[[#This Row],[Selling_Cost]],Details[[#This Row],[Quantity]])</f>
        <v>2322</v>
      </c>
      <c r="H839" t="s">
        <v>8</v>
      </c>
      <c r="I839" t="s">
        <v>9</v>
      </c>
      <c r="J839" t="s">
        <v>27</v>
      </c>
      <c r="K839" t="s">
        <v>626</v>
      </c>
      <c r="L839" t="s">
        <v>585</v>
      </c>
    </row>
    <row r="840" spans="1:12" x14ac:dyDescent="0.3">
      <c r="A840" t="s">
        <v>81</v>
      </c>
      <c r="B840">
        <v>774</v>
      </c>
      <c r="C840">
        <v>170</v>
      </c>
      <c r="D840">
        <v>2322</v>
      </c>
      <c r="E840">
        <f>SUM(Details[[#This Row],[Actual_Cost]],Details[[#This Row],[Profit]])</f>
        <v>2492</v>
      </c>
      <c r="F840">
        <v>3</v>
      </c>
      <c r="G840">
        <f>PRODUCT(Details[[#This Row],[Selling_Cost]],Details[[#This Row],[Quantity]])</f>
        <v>7476</v>
      </c>
      <c r="H840" t="s">
        <v>13</v>
      </c>
      <c r="I840" t="s">
        <v>55</v>
      </c>
      <c r="J840" t="s">
        <v>10</v>
      </c>
      <c r="K840" t="s">
        <v>610</v>
      </c>
      <c r="L840" t="s">
        <v>541</v>
      </c>
    </row>
    <row r="841" spans="1:12" x14ac:dyDescent="0.3">
      <c r="A841" t="s">
        <v>133</v>
      </c>
      <c r="B841">
        <v>774</v>
      </c>
      <c r="C841">
        <v>170</v>
      </c>
      <c r="D841">
        <v>2322</v>
      </c>
      <c r="E841">
        <f>SUM(Details[[#This Row],[Actual_Cost]],Details[[#This Row],[Profit]])</f>
        <v>2492</v>
      </c>
      <c r="F841">
        <v>3</v>
      </c>
      <c r="G841">
        <f>PRODUCT(Details[[#This Row],[Selling_Cost]],Details[[#This Row],[Quantity]])</f>
        <v>7476</v>
      </c>
      <c r="H841" t="s">
        <v>13</v>
      </c>
      <c r="I841" t="s">
        <v>55</v>
      </c>
      <c r="J841" t="s">
        <v>10</v>
      </c>
      <c r="K841" t="s">
        <v>632</v>
      </c>
      <c r="L841" t="s">
        <v>544</v>
      </c>
    </row>
    <row r="842" spans="1:12" x14ac:dyDescent="0.3">
      <c r="A842" t="s">
        <v>273</v>
      </c>
      <c r="B842">
        <v>497</v>
      </c>
      <c r="C842">
        <v>179</v>
      </c>
      <c r="D842">
        <v>1491</v>
      </c>
      <c r="E842">
        <f>SUM(Details[[#This Row],[Actual_Cost]],Details[[#This Row],[Profit]])</f>
        <v>1670</v>
      </c>
      <c r="F842">
        <v>3</v>
      </c>
      <c r="G842">
        <f>PRODUCT(Details[[#This Row],[Selling_Cost]],Details[[#This Row],[Quantity]])</f>
        <v>5010</v>
      </c>
      <c r="H842" t="s">
        <v>16</v>
      </c>
      <c r="I842" t="s">
        <v>23</v>
      </c>
      <c r="J842" t="s">
        <v>42</v>
      </c>
      <c r="K842" t="s">
        <v>641</v>
      </c>
      <c r="L842" t="s">
        <v>541</v>
      </c>
    </row>
    <row r="843" spans="1:12" x14ac:dyDescent="0.3">
      <c r="A843" t="s">
        <v>134</v>
      </c>
      <c r="B843">
        <v>375</v>
      </c>
      <c r="C843">
        <v>180</v>
      </c>
      <c r="D843">
        <v>1125</v>
      </c>
      <c r="E843">
        <f>SUM(Details[[#This Row],[Actual_Cost]],Details[[#This Row],[Profit]])</f>
        <v>1305</v>
      </c>
      <c r="F843">
        <v>3</v>
      </c>
      <c r="G843">
        <f>PRODUCT(Details[[#This Row],[Selling_Cost]],Details[[#This Row],[Quantity]])</f>
        <v>3915</v>
      </c>
      <c r="H843" t="s">
        <v>16</v>
      </c>
      <c r="I843" t="s">
        <v>17</v>
      </c>
      <c r="J843" t="s">
        <v>27</v>
      </c>
      <c r="K843" t="s">
        <v>552</v>
      </c>
      <c r="L843" t="s">
        <v>583</v>
      </c>
    </row>
    <row r="844" spans="1:12" x14ac:dyDescent="0.3">
      <c r="A844" t="s">
        <v>141</v>
      </c>
      <c r="B844">
        <v>511</v>
      </c>
      <c r="C844">
        <v>194</v>
      </c>
      <c r="D844">
        <v>1533</v>
      </c>
      <c r="E844">
        <f>SUM(Details[[#This Row],[Actual_Cost]],Details[[#This Row],[Profit]])</f>
        <v>1727</v>
      </c>
      <c r="F844">
        <v>3</v>
      </c>
      <c r="G844">
        <f>PRODUCT(Details[[#This Row],[Selling_Cost]],Details[[#This Row],[Quantity]])</f>
        <v>5181</v>
      </c>
      <c r="H844" t="s">
        <v>16</v>
      </c>
      <c r="I844" t="s">
        <v>23</v>
      </c>
      <c r="J844" t="s">
        <v>18</v>
      </c>
      <c r="K844" t="s">
        <v>552</v>
      </c>
      <c r="L844" t="s">
        <v>563</v>
      </c>
    </row>
    <row r="845" spans="1:12" x14ac:dyDescent="0.3">
      <c r="A845" t="s">
        <v>140</v>
      </c>
      <c r="B845">
        <v>414</v>
      </c>
      <c r="C845">
        <v>199</v>
      </c>
      <c r="D845">
        <v>1242</v>
      </c>
      <c r="E845">
        <f>SUM(Details[[#This Row],[Actual_Cost]],Details[[#This Row],[Profit]])</f>
        <v>1441</v>
      </c>
      <c r="F845">
        <v>3</v>
      </c>
      <c r="G845">
        <f>PRODUCT(Details[[#This Row],[Selling_Cost]],Details[[#This Row],[Quantity]])</f>
        <v>4323</v>
      </c>
      <c r="H845" t="s">
        <v>13</v>
      </c>
      <c r="I845" t="s">
        <v>14</v>
      </c>
      <c r="J845" t="s">
        <v>10</v>
      </c>
      <c r="K845" t="s">
        <v>543</v>
      </c>
      <c r="L845" t="s">
        <v>544</v>
      </c>
    </row>
    <row r="846" spans="1:12" x14ac:dyDescent="0.3">
      <c r="A846" t="s">
        <v>329</v>
      </c>
      <c r="B846">
        <v>941</v>
      </c>
      <c r="C846">
        <v>203</v>
      </c>
      <c r="D846">
        <v>2823</v>
      </c>
      <c r="E846">
        <f>SUM(Details[[#This Row],[Actual_Cost]],Details[[#This Row],[Profit]])</f>
        <v>3026</v>
      </c>
      <c r="F846">
        <v>3</v>
      </c>
      <c r="G846">
        <f>PRODUCT(Details[[#This Row],[Selling_Cost]],Details[[#This Row],[Quantity]])</f>
        <v>9078</v>
      </c>
      <c r="H846" t="s">
        <v>16</v>
      </c>
      <c r="I846" t="s">
        <v>146</v>
      </c>
      <c r="J846" t="s">
        <v>18</v>
      </c>
      <c r="K846" t="s">
        <v>548</v>
      </c>
      <c r="L846" t="s">
        <v>585</v>
      </c>
    </row>
    <row r="847" spans="1:12" x14ac:dyDescent="0.3">
      <c r="A847" t="s">
        <v>140</v>
      </c>
      <c r="B847">
        <v>610</v>
      </c>
      <c r="C847">
        <v>208</v>
      </c>
      <c r="D847">
        <v>1830</v>
      </c>
      <c r="E847">
        <f>SUM(Details[[#This Row],[Actual_Cost]],Details[[#This Row],[Profit]])</f>
        <v>2038</v>
      </c>
      <c r="F847">
        <v>3</v>
      </c>
      <c r="G847">
        <f>PRODUCT(Details[[#This Row],[Selling_Cost]],Details[[#This Row],[Quantity]])</f>
        <v>6114</v>
      </c>
      <c r="H847" t="s">
        <v>13</v>
      </c>
      <c r="I847" t="s">
        <v>20</v>
      </c>
      <c r="J847" t="s">
        <v>10</v>
      </c>
      <c r="K847" t="s">
        <v>543</v>
      </c>
      <c r="L847" t="s">
        <v>544</v>
      </c>
    </row>
    <row r="848" spans="1:12" x14ac:dyDescent="0.3">
      <c r="A848" t="s">
        <v>176</v>
      </c>
      <c r="B848">
        <v>561</v>
      </c>
      <c r="C848">
        <v>212</v>
      </c>
      <c r="D848">
        <v>1683</v>
      </c>
      <c r="E848">
        <f>SUM(Details[[#This Row],[Actual_Cost]],Details[[#This Row],[Profit]])</f>
        <v>1895</v>
      </c>
      <c r="F848">
        <v>3</v>
      </c>
      <c r="G848">
        <f>PRODUCT(Details[[#This Row],[Selling_Cost]],Details[[#This Row],[Quantity]])</f>
        <v>5685</v>
      </c>
      <c r="H848" t="s">
        <v>8</v>
      </c>
      <c r="I848" t="s">
        <v>9</v>
      </c>
      <c r="J848" t="s">
        <v>27</v>
      </c>
      <c r="K848" t="s">
        <v>539</v>
      </c>
      <c r="L848" t="s">
        <v>614</v>
      </c>
    </row>
    <row r="849" spans="1:12" x14ac:dyDescent="0.3">
      <c r="A849" t="s">
        <v>152</v>
      </c>
      <c r="B849">
        <v>561</v>
      </c>
      <c r="C849">
        <v>212</v>
      </c>
      <c r="D849">
        <v>1683</v>
      </c>
      <c r="E849">
        <f>SUM(Details[[#This Row],[Actual_Cost]],Details[[#This Row],[Profit]])</f>
        <v>1895</v>
      </c>
      <c r="F849">
        <v>3</v>
      </c>
      <c r="G849">
        <f>PRODUCT(Details[[#This Row],[Selling_Cost]],Details[[#This Row],[Quantity]])</f>
        <v>5685</v>
      </c>
      <c r="H849" t="s">
        <v>8</v>
      </c>
      <c r="I849" t="s">
        <v>9</v>
      </c>
      <c r="J849" t="s">
        <v>10</v>
      </c>
      <c r="K849" t="s">
        <v>548</v>
      </c>
      <c r="L849" t="s">
        <v>565</v>
      </c>
    </row>
    <row r="850" spans="1:12" x14ac:dyDescent="0.3">
      <c r="A850" t="s">
        <v>170</v>
      </c>
      <c r="B850">
        <v>204</v>
      </c>
      <c r="C850">
        <v>276</v>
      </c>
      <c r="D850">
        <v>612</v>
      </c>
      <c r="E850">
        <f>SUM(Details[[#This Row],[Actual_Cost]],Details[[#This Row],[Profit]])</f>
        <v>888</v>
      </c>
      <c r="F850">
        <v>3</v>
      </c>
      <c r="G850">
        <f>PRODUCT(Details[[#This Row],[Selling_Cost]],Details[[#This Row],[Quantity]])</f>
        <v>2664</v>
      </c>
      <c r="H850" t="s">
        <v>16</v>
      </c>
      <c r="I850" t="s">
        <v>17</v>
      </c>
      <c r="J850" t="s">
        <v>10</v>
      </c>
      <c r="K850" t="s">
        <v>548</v>
      </c>
      <c r="L850" t="s">
        <v>554</v>
      </c>
    </row>
    <row r="851" spans="1:12" x14ac:dyDescent="0.3">
      <c r="A851" t="s">
        <v>37</v>
      </c>
      <c r="B851">
        <v>1103</v>
      </c>
      <c r="C851">
        <v>276</v>
      </c>
      <c r="D851">
        <v>3309</v>
      </c>
      <c r="E851">
        <f>SUM(Details[[#This Row],[Actual_Cost]],Details[[#This Row],[Profit]])</f>
        <v>3585</v>
      </c>
      <c r="F851">
        <v>3</v>
      </c>
      <c r="G851">
        <f>PRODUCT(Details[[#This Row],[Selling_Cost]],Details[[#This Row],[Quantity]])</f>
        <v>10755</v>
      </c>
      <c r="H851" t="s">
        <v>16</v>
      </c>
      <c r="I851" t="s">
        <v>23</v>
      </c>
      <c r="J851" t="s">
        <v>125</v>
      </c>
      <c r="K851" t="s">
        <v>548</v>
      </c>
      <c r="L851" t="s">
        <v>565</v>
      </c>
    </row>
    <row r="852" spans="1:12" x14ac:dyDescent="0.3">
      <c r="A852" t="s">
        <v>215</v>
      </c>
      <c r="B852">
        <v>595</v>
      </c>
      <c r="C852">
        <v>292</v>
      </c>
      <c r="D852">
        <v>1785</v>
      </c>
      <c r="E852">
        <f>SUM(Details[[#This Row],[Actual_Cost]],Details[[#This Row],[Profit]])</f>
        <v>2077</v>
      </c>
      <c r="F852">
        <v>3</v>
      </c>
      <c r="G852">
        <f>PRODUCT(Details[[#This Row],[Selling_Cost]],Details[[#This Row],[Quantity]])</f>
        <v>6231</v>
      </c>
      <c r="H852" t="s">
        <v>8</v>
      </c>
      <c r="I852" t="s">
        <v>9</v>
      </c>
      <c r="J852" t="s">
        <v>10</v>
      </c>
      <c r="K852" t="s">
        <v>632</v>
      </c>
      <c r="L852" t="s">
        <v>583</v>
      </c>
    </row>
    <row r="853" spans="1:12" x14ac:dyDescent="0.3">
      <c r="A853" t="s">
        <v>398</v>
      </c>
      <c r="B853">
        <v>955</v>
      </c>
      <c r="C853">
        <v>305</v>
      </c>
      <c r="D853">
        <v>2865</v>
      </c>
      <c r="E853">
        <f>SUM(Details[[#This Row],[Actual_Cost]],Details[[#This Row],[Profit]])</f>
        <v>3170</v>
      </c>
      <c r="F853">
        <v>3</v>
      </c>
      <c r="G853">
        <f>PRODUCT(Details[[#This Row],[Selling_Cost]],Details[[#This Row],[Quantity]])</f>
        <v>9510</v>
      </c>
      <c r="H853" t="s">
        <v>13</v>
      </c>
      <c r="I853" t="s">
        <v>20</v>
      </c>
      <c r="J853" t="s">
        <v>42</v>
      </c>
      <c r="K853" t="s">
        <v>552</v>
      </c>
      <c r="L853" t="s">
        <v>563</v>
      </c>
    </row>
    <row r="854" spans="1:12" x14ac:dyDescent="0.3">
      <c r="A854" t="s">
        <v>35</v>
      </c>
      <c r="B854">
        <v>770</v>
      </c>
      <c r="C854">
        <v>323</v>
      </c>
      <c r="D854">
        <v>2310</v>
      </c>
      <c r="E854">
        <f>SUM(Details[[#This Row],[Actual_Cost]],Details[[#This Row],[Profit]])</f>
        <v>2633</v>
      </c>
      <c r="F854">
        <v>3</v>
      </c>
      <c r="G854">
        <f>PRODUCT(Details[[#This Row],[Selling_Cost]],Details[[#This Row],[Quantity]])</f>
        <v>7899</v>
      </c>
      <c r="H854" t="s">
        <v>13</v>
      </c>
      <c r="I854" t="s">
        <v>55</v>
      </c>
      <c r="J854" t="s">
        <v>10</v>
      </c>
      <c r="K854" t="s">
        <v>543</v>
      </c>
      <c r="L854" t="s">
        <v>544</v>
      </c>
    </row>
    <row r="855" spans="1:12" x14ac:dyDescent="0.3">
      <c r="A855" t="s">
        <v>413</v>
      </c>
      <c r="B855">
        <v>1314</v>
      </c>
      <c r="C855">
        <v>342</v>
      </c>
      <c r="D855">
        <v>3942</v>
      </c>
      <c r="E855">
        <f>SUM(Details[[#This Row],[Actual_Cost]],Details[[#This Row],[Profit]])</f>
        <v>4284</v>
      </c>
      <c r="F855">
        <v>3</v>
      </c>
      <c r="G855">
        <f>PRODUCT(Details[[#This Row],[Selling_Cost]],Details[[#This Row],[Quantity]])</f>
        <v>12852</v>
      </c>
      <c r="H855" t="s">
        <v>16</v>
      </c>
      <c r="I855" t="s">
        <v>17</v>
      </c>
      <c r="J855" t="s">
        <v>27</v>
      </c>
      <c r="K855" t="s">
        <v>543</v>
      </c>
      <c r="L855" t="s">
        <v>544</v>
      </c>
    </row>
    <row r="856" spans="1:12" x14ac:dyDescent="0.3">
      <c r="A856" t="s">
        <v>414</v>
      </c>
      <c r="B856">
        <v>1101</v>
      </c>
      <c r="C856">
        <v>352</v>
      </c>
      <c r="D856">
        <v>3303</v>
      </c>
      <c r="E856">
        <f>SUM(Details[[#This Row],[Actual_Cost]],Details[[#This Row],[Profit]])</f>
        <v>3655</v>
      </c>
      <c r="F856">
        <v>3</v>
      </c>
      <c r="G856">
        <f>PRODUCT(Details[[#This Row],[Selling_Cost]],Details[[#This Row],[Quantity]])</f>
        <v>10965</v>
      </c>
      <c r="H856" t="s">
        <v>16</v>
      </c>
      <c r="I856" t="s">
        <v>17</v>
      </c>
      <c r="J856" t="s">
        <v>18</v>
      </c>
      <c r="K856" t="s">
        <v>605</v>
      </c>
      <c r="L856" t="s">
        <v>546</v>
      </c>
    </row>
    <row r="857" spans="1:12" x14ac:dyDescent="0.3">
      <c r="A857" t="s">
        <v>415</v>
      </c>
      <c r="B857">
        <v>1560</v>
      </c>
      <c r="C857">
        <v>421</v>
      </c>
      <c r="D857">
        <v>4680</v>
      </c>
      <c r="E857">
        <f>SUM(Details[[#This Row],[Actual_Cost]],Details[[#This Row],[Profit]])</f>
        <v>5101</v>
      </c>
      <c r="F857">
        <v>3</v>
      </c>
      <c r="G857">
        <f>PRODUCT(Details[[#This Row],[Selling_Cost]],Details[[#This Row],[Quantity]])</f>
        <v>15303</v>
      </c>
      <c r="H857" t="s">
        <v>8</v>
      </c>
      <c r="I857" t="s">
        <v>41</v>
      </c>
      <c r="J857" t="s">
        <v>10</v>
      </c>
      <c r="K857" t="s">
        <v>592</v>
      </c>
      <c r="L857" t="s">
        <v>565</v>
      </c>
    </row>
    <row r="858" spans="1:12" x14ac:dyDescent="0.3">
      <c r="A858" t="s">
        <v>191</v>
      </c>
      <c r="B858">
        <v>332</v>
      </c>
      <c r="C858">
        <v>503</v>
      </c>
      <c r="D858">
        <v>996</v>
      </c>
      <c r="E858">
        <f>SUM(Details[[#This Row],[Actual_Cost]],Details[[#This Row],[Profit]])</f>
        <v>1499</v>
      </c>
      <c r="F858">
        <v>3</v>
      </c>
      <c r="G858">
        <f>PRODUCT(Details[[#This Row],[Selling_Cost]],Details[[#This Row],[Quantity]])</f>
        <v>4497</v>
      </c>
      <c r="H858" t="s">
        <v>13</v>
      </c>
      <c r="I858" t="s">
        <v>20</v>
      </c>
      <c r="J858" t="s">
        <v>10</v>
      </c>
      <c r="K858" t="s">
        <v>581</v>
      </c>
      <c r="L858" t="s">
        <v>585</v>
      </c>
    </row>
    <row r="859" spans="1:12" x14ac:dyDescent="0.3">
      <c r="A859" t="s">
        <v>331</v>
      </c>
      <c r="B859">
        <v>1308</v>
      </c>
      <c r="C859">
        <v>536</v>
      </c>
      <c r="D859">
        <v>3924</v>
      </c>
      <c r="E859">
        <f>SUM(Details[[#This Row],[Actual_Cost]],Details[[#This Row],[Profit]])</f>
        <v>4460</v>
      </c>
      <c r="F859">
        <v>3</v>
      </c>
      <c r="G859">
        <f>PRODUCT(Details[[#This Row],[Selling_Cost]],Details[[#This Row],[Quantity]])</f>
        <v>13380</v>
      </c>
      <c r="H859" t="s">
        <v>16</v>
      </c>
      <c r="I859" t="s">
        <v>17</v>
      </c>
      <c r="J859" t="s">
        <v>27</v>
      </c>
      <c r="K859" t="s">
        <v>592</v>
      </c>
      <c r="L859" t="s">
        <v>546</v>
      </c>
    </row>
    <row r="860" spans="1:12" x14ac:dyDescent="0.3">
      <c r="A860" t="s">
        <v>175</v>
      </c>
      <c r="B860">
        <v>1709</v>
      </c>
      <c r="C860">
        <v>564</v>
      </c>
      <c r="D860">
        <v>5127</v>
      </c>
      <c r="E860">
        <f>SUM(Details[[#This Row],[Actual_Cost]],Details[[#This Row],[Profit]])</f>
        <v>5691</v>
      </c>
      <c r="F860">
        <v>3</v>
      </c>
      <c r="G860">
        <f>PRODUCT(Details[[#This Row],[Selling_Cost]],Details[[#This Row],[Quantity]])</f>
        <v>17073</v>
      </c>
      <c r="H860" t="s">
        <v>8</v>
      </c>
      <c r="I860" t="s">
        <v>41</v>
      </c>
      <c r="J860" t="s">
        <v>27</v>
      </c>
      <c r="K860" t="s">
        <v>592</v>
      </c>
      <c r="L860" t="s">
        <v>554</v>
      </c>
    </row>
    <row r="861" spans="1:12" x14ac:dyDescent="0.3">
      <c r="A861" t="s">
        <v>276</v>
      </c>
      <c r="B861">
        <v>1487</v>
      </c>
      <c r="C861">
        <v>624</v>
      </c>
      <c r="D861">
        <v>4461</v>
      </c>
      <c r="E861">
        <f>SUM(Details[[#This Row],[Actual_Cost]],Details[[#This Row],[Profit]])</f>
        <v>5085</v>
      </c>
      <c r="F861">
        <v>3</v>
      </c>
      <c r="G861">
        <f>PRODUCT(Details[[#This Row],[Selling_Cost]],Details[[#This Row],[Quantity]])</f>
        <v>15255</v>
      </c>
      <c r="H861" t="s">
        <v>8</v>
      </c>
      <c r="I861" t="s">
        <v>41</v>
      </c>
      <c r="J861" t="s">
        <v>27</v>
      </c>
      <c r="K861" t="s">
        <v>587</v>
      </c>
      <c r="L861" t="s">
        <v>541</v>
      </c>
    </row>
    <row r="862" spans="1:12" x14ac:dyDescent="0.3">
      <c r="A862" t="s">
        <v>222</v>
      </c>
      <c r="B862">
        <v>1954</v>
      </c>
      <c r="C862">
        <v>782</v>
      </c>
      <c r="D862">
        <v>5862</v>
      </c>
      <c r="E862">
        <f>SUM(Details[[#This Row],[Actual_Cost]],Details[[#This Row],[Profit]])</f>
        <v>6644</v>
      </c>
      <c r="F862">
        <v>3</v>
      </c>
      <c r="G862">
        <f>PRODUCT(Details[[#This Row],[Selling_Cost]],Details[[#This Row],[Quantity]])</f>
        <v>19932</v>
      </c>
      <c r="H862" t="s">
        <v>13</v>
      </c>
      <c r="I862" t="s">
        <v>14</v>
      </c>
      <c r="J862" t="s">
        <v>27</v>
      </c>
      <c r="K862" t="s">
        <v>581</v>
      </c>
      <c r="L862" t="s">
        <v>563</v>
      </c>
    </row>
    <row r="863" spans="1:12" x14ac:dyDescent="0.3">
      <c r="A863" t="s">
        <v>416</v>
      </c>
      <c r="B863">
        <v>1361</v>
      </c>
      <c r="C863">
        <v>980</v>
      </c>
      <c r="D863">
        <v>4083</v>
      </c>
      <c r="E863">
        <f>SUM(Details[[#This Row],[Actual_Cost]],Details[[#This Row],[Profit]])</f>
        <v>5063</v>
      </c>
      <c r="F863">
        <v>3</v>
      </c>
      <c r="G863">
        <f>PRODUCT(Details[[#This Row],[Selling_Cost]],Details[[#This Row],[Quantity]])</f>
        <v>15189</v>
      </c>
      <c r="H863" t="s">
        <v>16</v>
      </c>
      <c r="I863" t="s">
        <v>146</v>
      </c>
      <c r="J863" t="s">
        <v>10</v>
      </c>
      <c r="K863" t="s">
        <v>548</v>
      </c>
      <c r="L863" t="s">
        <v>583</v>
      </c>
    </row>
    <row r="864" spans="1:12" x14ac:dyDescent="0.3">
      <c r="A864" t="s">
        <v>417</v>
      </c>
      <c r="B864">
        <v>724</v>
      </c>
      <c r="C864">
        <v>-447</v>
      </c>
      <c r="D864">
        <v>2896</v>
      </c>
      <c r="E864">
        <f>SUM(Details[[#This Row],[Actual_Cost]],Details[[#This Row],[Profit]])</f>
        <v>2449</v>
      </c>
      <c r="F864">
        <v>4</v>
      </c>
      <c r="G864">
        <f>PRODUCT(Details[[#This Row],[Selling_Cost]],Details[[#This Row],[Quantity]])</f>
        <v>9796</v>
      </c>
      <c r="H864" t="s">
        <v>13</v>
      </c>
      <c r="I864" t="s">
        <v>34</v>
      </c>
      <c r="J864" t="s">
        <v>18</v>
      </c>
      <c r="K864" t="s">
        <v>548</v>
      </c>
      <c r="L864" t="s">
        <v>583</v>
      </c>
    </row>
    <row r="865" spans="1:12" x14ac:dyDescent="0.3">
      <c r="A865" t="s">
        <v>418</v>
      </c>
      <c r="B865">
        <v>1549</v>
      </c>
      <c r="C865">
        <v>-439</v>
      </c>
      <c r="D865">
        <v>6196</v>
      </c>
      <c r="E865">
        <f>SUM(Details[[#This Row],[Actual_Cost]],Details[[#This Row],[Profit]])</f>
        <v>5757</v>
      </c>
      <c r="F865">
        <v>4</v>
      </c>
      <c r="G865">
        <f>PRODUCT(Details[[#This Row],[Selling_Cost]],Details[[#This Row],[Quantity]])</f>
        <v>23028</v>
      </c>
      <c r="H865" t="s">
        <v>13</v>
      </c>
      <c r="I865" t="s">
        <v>14</v>
      </c>
      <c r="J865" t="s">
        <v>27</v>
      </c>
      <c r="K865" t="s">
        <v>552</v>
      </c>
      <c r="L865" t="s">
        <v>614</v>
      </c>
    </row>
    <row r="866" spans="1:12" x14ac:dyDescent="0.3">
      <c r="A866" t="s">
        <v>57</v>
      </c>
      <c r="B866">
        <v>275</v>
      </c>
      <c r="C866">
        <v>-275</v>
      </c>
      <c r="D866">
        <v>1100</v>
      </c>
      <c r="E866">
        <f>SUM(Details[[#This Row],[Actual_Cost]],Details[[#This Row],[Profit]])</f>
        <v>825</v>
      </c>
      <c r="F866">
        <v>4</v>
      </c>
      <c r="G866">
        <f>PRODUCT(Details[[#This Row],[Selling_Cost]],Details[[#This Row],[Quantity]])</f>
        <v>3300</v>
      </c>
      <c r="H866" t="s">
        <v>8</v>
      </c>
      <c r="I866" t="s">
        <v>9</v>
      </c>
      <c r="J866" t="s">
        <v>10</v>
      </c>
      <c r="K866" t="s">
        <v>610</v>
      </c>
      <c r="L866" t="s">
        <v>585</v>
      </c>
    </row>
    <row r="867" spans="1:12" x14ac:dyDescent="0.3">
      <c r="A867" t="s">
        <v>363</v>
      </c>
      <c r="B867">
        <v>257</v>
      </c>
      <c r="C867">
        <v>-252</v>
      </c>
      <c r="D867">
        <v>1028</v>
      </c>
      <c r="E867">
        <f>SUM(Details[[#This Row],[Actual_Cost]],Details[[#This Row],[Profit]])</f>
        <v>776</v>
      </c>
      <c r="F867">
        <v>4</v>
      </c>
      <c r="G867">
        <f>PRODUCT(Details[[#This Row],[Selling_Cost]],Details[[#This Row],[Quantity]])</f>
        <v>3104</v>
      </c>
      <c r="H867" t="s">
        <v>8</v>
      </c>
      <c r="I867" t="s">
        <v>9</v>
      </c>
      <c r="J867" t="s">
        <v>42</v>
      </c>
      <c r="K867" t="s">
        <v>552</v>
      </c>
      <c r="L867" t="s">
        <v>583</v>
      </c>
    </row>
    <row r="868" spans="1:12" x14ac:dyDescent="0.3">
      <c r="A868" t="s">
        <v>15</v>
      </c>
      <c r="B868">
        <v>444</v>
      </c>
      <c r="C868">
        <v>-200</v>
      </c>
      <c r="D868">
        <v>1776</v>
      </c>
      <c r="E868">
        <f>SUM(Details[[#This Row],[Actual_Cost]],Details[[#This Row],[Profit]])</f>
        <v>1576</v>
      </c>
      <c r="F868">
        <v>4</v>
      </c>
      <c r="G868">
        <f>PRODUCT(Details[[#This Row],[Selling_Cost]],Details[[#This Row],[Quantity]])</f>
        <v>6304</v>
      </c>
      <c r="H868" t="s">
        <v>13</v>
      </c>
      <c r="I868" t="s">
        <v>14</v>
      </c>
      <c r="J868" t="s">
        <v>125</v>
      </c>
      <c r="K868" t="s">
        <v>578</v>
      </c>
      <c r="L868" t="s">
        <v>624</v>
      </c>
    </row>
    <row r="869" spans="1:12" x14ac:dyDescent="0.3">
      <c r="A869" t="s">
        <v>239</v>
      </c>
      <c r="B869">
        <v>450</v>
      </c>
      <c r="C869">
        <v>-190</v>
      </c>
      <c r="D869">
        <v>1800</v>
      </c>
      <c r="E869">
        <f>SUM(Details[[#This Row],[Actual_Cost]],Details[[#This Row],[Profit]])</f>
        <v>1610</v>
      </c>
      <c r="F869">
        <v>4</v>
      </c>
      <c r="G869">
        <f>PRODUCT(Details[[#This Row],[Selling_Cost]],Details[[#This Row],[Quantity]])</f>
        <v>6440</v>
      </c>
      <c r="H869" t="s">
        <v>16</v>
      </c>
      <c r="I869" t="s">
        <v>17</v>
      </c>
      <c r="J869" t="s">
        <v>10</v>
      </c>
      <c r="K869" t="s">
        <v>552</v>
      </c>
      <c r="L869" t="s">
        <v>541</v>
      </c>
    </row>
    <row r="870" spans="1:12" x14ac:dyDescent="0.3">
      <c r="A870" t="s">
        <v>419</v>
      </c>
      <c r="B870">
        <v>288</v>
      </c>
      <c r="C870">
        <v>-180</v>
      </c>
      <c r="D870">
        <v>1152</v>
      </c>
      <c r="E870">
        <f>SUM(Details[[#This Row],[Actual_Cost]],Details[[#This Row],[Profit]])</f>
        <v>972</v>
      </c>
      <c r="F870">
        <v>4</v>
      </c>
      <c r="G870">
        <f>PRODUCT(Details[[#This Row],[Selling_Cost]],Details[[#This Row],[Quantity]])</f>
        <v>3888</v>
      </c>
      <c r="H870" t="s">
        <v>16</v>
      </c>
      <c r="I870" t="s">
        <v>23</v>
      </c>
      <c r="J870" t="s">
        <v>10</v>
      </c>
      <c r="K870" t="s">
        <v>552</v>
      </c>
      <c r="L870" t="s">
        <v>624</v>
      </c>
    </row>
    <row r="871" spans="1:12" x14ac:dyDescent="0.3">
      <c r="A871" t="s">
        <v>420</v>
      </c>
      <c r="B871">
        <v>1063</v>
      </c>
      <c r="C871">
        <v>-175</v>
      </c>
      <c r="D871">
        <v>4252</v>
      </c>
      <c r="E871">
        <f>SUM(Details[[#This Row],[Actual_Cost]],Details[[#This Row],[Profit]])</f>
        <v>4077</v>
      </c>
      <c r="F871">
        <v>4</v>
      </c>
      <c r="G871">
        <f>PRODUCT(Details[[#This Row],[Selling_Cost]],Details[[#This Row],[Quantity]])</f>
        <v>16308</v>
      </c>
      <c r="H871" t="s">
        <v>13</v>
      </c>
      <c r="I871" t="s">
        <v>34</v>
      </c>
      <c r="J871" t="s">
        <v>125</v>
      </c>
      <c r="K871" t="s">
        <v>548</v>
      </c>
      <c r="L871" t="s">
        <v>546</v>
      </c>
    </row>
    <row r="872" spans="1:12" x14ac:dyDescent="0.3">
      <c r="A872" t="s">
        <v>160</v>
      </c>
      <c r="B872">
        <v>249</v>
      </c>
      <c r="C872">
        <v>-130</v>
      </c>
      <c r="D872">
        <v>996</v>
      </c>
      <c r="E872">
        <f>SUM(Details[[#This Row],[Actual_Cost]],Details[[#This Row],[Profit]])</f>
        <v>866</v>
      </c>
      <c r="F872">
        <v>4</v>
      </c>
      <c r="G872">
        <f>PRODUCT(Details[[#This Row],[Selling_Cost]],Details[[#This Row],[Quantity]])</f>
        <v>3464</v>
      </c>
      <c r="H872" t="s">
        <v>13</v>
      </c>
      <c r="I872" t="s">
        <v>14</v>
      </c>
      <c r="J872" t="s">
        <v>18</v>
      </c>
      <c r="K872" t="s">
        <v>711</v>
      </c>
      <c r="L872" t="s">
        <v>565</v>
      </c>
    </row>
    <row r="873" spans="1:12" x14ac:dyDescent="0.3">
      <c r="A873" t="s">
        <v>226</v>
      </c>
      <c r="B873">
        <v>498</v>
      </c>
      <c r="C873">
        <v>-116</v>
      </c>
      <c r="D873">
        <v>1992</v>
      </c>
      <c r="E873">
        <f>SUM(Details[[#This Row],[Actual_Cost]],Details[[#This Row],[Profit]])</f>
        <v>1876</v>
      </c>
      <c r="F873">
        <v>4</v>
      </c>
      <c r="G873">
        <f>PRODUCT(Details[[#This Row],[Selling_Cost]],Details[[#This Row],[Quantity]])</f>
        <v>7504</v>
      </c>
      <c r="H873" t="s">
        <v>8</v>
      </c>
      <c r="I873" t="s">
        <v>9</v>
      </c>
      <c r="J873" t="s">
        <v>18</v>
      </c>
      <c r="K873" t="s">
        <v>552</v>
      </c>
      <c r="L873" t="s">
        <v>544</v>
      </c>
    </row>
    <row r="874" spans="1:12" x14ac:dyDescent="0.3">
      <c r="A874" t="s">
        <v>421</v>
      </c>
      <c r="B874">
        <v>632</v>
      </c>
      <c r="C874">
        <v>-114</v>
      </c>
      <c r="D874">
        <v>2528</v>
      </c>
      <c r="E874">
        <f>SUM(Details[[#This Row],[Actual_Cost]],Details[[#This Row],[Profit]])</f>
        <v>2414</v>
      </c>
      <c r="F874">
        <v>4</v>
      </c>
      <c r="G874">
        <f>PRODUCT(Details[[#This Row],[Selling_Cost]],Details[[#This Row],[Quantity]])</f>
        <v>9656</v>
      </c>
      <c r="H874" t="s">
        <v>16</v>
      </c>
      <c r="I874" t="s">
        <v>146</v>
      </c>
      <c r="J874" t="s">
        <v>18</v>
      </c>
      <c r="K874" t="s">
        <v>552</v>
      </c>
      <c r="L874" t="s">
        <v>563</v>
      </c>
    </row>
    <row r="875" spans="1:12" x14ac:dyDescent="0.3">
      <c r="A875" t="s">
        <v>422</v>
      </c>
      <c r="B875">
        <v>166</v>
      </c>
      <c r="C875">
        <v>-113</v>
      </c>
      <c r="D875">
        <v>664</v>
      </c>
      <c r="E875">
        <f>SUM(Details[[#This Row],[Actual_Cost]],Details[[#This Row],[Profit]])</f>
        <v>551</v>
      </c>
      <c r="F875">
        <v>4</v>
      </c>
      <c r="G875">
        <f>PRODUCT(Details[[#This Row],[Selling_Cost]],Details[[#This Row],[Quantity]])</f>
        <v>2204</v>
      </c>
      <c r="H875" t="s">
        <v>13</v>
      </c>
      <c r="I875" t="s">
        <v>55</v>
      </c>
      <c r="J875" t="s">
        <v>125</v>
      </c>
      <c r="K875" t="s">
        <v>592</v>
      </c>
      <c r="L875" t="s">
        <v>624</v>
      </c>
    </row>
    <row r="876" spans="1:12" x14ac:dyDescent="0.3">
      <c r="A876" t="s">
        <v>144</v>
      </c>
      <c r="B876">
        <v>322</v>
      </c>
      <c r="C876">
        <v>-113</v>
      </c>
      <c r="D876">
        <v>1288</v>
      </c>
      <c r="E876">
        <f>SUM(Details[[#This Row],[Actual_Cost]],Details[[#This Row],[Profit]])</f>
        <v>1175</v>
      </c>
      <c r="F876">
        <v>4</v>
      </c>
      <c r="G876">
        <f>PRODUCT(Details[[#This Row],[Selling_Cost]],Details[[#This Row],[Quantity]])</f>
        <v>4700</v>
      </c>
      <c r="H876" t="s">
        <v>8</v>
      </c>
      <c r="I876" t="s">
        <v>9</v>
      </c>
      <c r="J876" t="s">
        <v>27</v>
      </c>
      <c r="K876" t="s">
        <v>548</v>
      </c>
      <c r="L876" t="s">
        <v>614</v>
      </c>
    </row>
    <row r="877" spans="1:12" x14ac:dyDescent="0.3">
      <c r="A877" t="s">
        <v>147</v>
      </c>
      <c r="B877">
        <v>342</v>
      </c>
      <c r="C877">
        <v>-103</v>
      </c>
      <c r="D877">
        <v>1368</v>
      </c>
      <c r="E877">
        <f>SUM(Details[[#This Row],[Actual_Cost]],Details[[#This Row],[Profit]])</f>
        <v>1265</v>
      </c>
      <c r="F877">
        <v>4</v>
      </c>
      <c r="G877">
        <f>PRODUCT(Details[[#This Row],[Selling_Cost]],Details[[#This Row],[Quantity]])</f>
        <v>5060</v>
      </c>
      <c r="H877" t="s">
        <v>13</v>
      </c>
      <c r="I877" t="s">
        <v>34</v>
      </c>
      <c r="J877" t="s">
        <v>10</v>
      </c>
      <c r="K877" t="s">
        <v>607</v>
      </c>
      <c r="L877" t="s">
        <v>585</v>
      </c>
    </row>
    <row r="878" spans="1:12" x14ac:dyDescent="0.3">
      <c r="A878" t="s">
        <v>194</v>
      </c>
      <c r="B878">
        <v>204</v>
      </c>
      <c r="C878">
        <v>-94</v>
      </c>
      <c r="D878">
        <v>816</v>
      </c>
      <c r="E878">
        <f>SUM(Details[[#This Row],[Actual_Cost]],Details[[#This Row],[Profit]])</f>
        <v>722</v>
      </c>
      <c r="F878">
        <v>4</v>
      </c>
      <c r="G878">
        <f>PRODUCT(Details[[#This Row],[Selling_Cost]],Details[[#This Row],[Quantity]])</f>
        <v>2888</v>
      </c>
      <c r="H878" t="s">
        <v>8</v>
      </c>
      <c r="I878" t="s">
        <v>48</v>
      </c>
      <c r="J878" t="s">
        <v>125</v>
      </c>
      <c r="K878" t="s">
        <v>552</v>
      </c>
      <c r="L878" t="s">
        <v>550</v>
      </c>
    </row>
    <row r="879" spans="1:12" x14ac:dyDescent="0.3">
      <c r="A879" t="s">
        <v>284</v>
      </c>
      <c r="B879">
        <v>149</v>
      </c>
      <c r="C879">
        <v>-87</v>
      </c>
      <c r="D879">
        <v>596</v>
      </c>
      <c r="E879">
        <f>SUM(Details[[#This Row],[Actual_Cost]],Details[[#This Row],[Profit]])</f>
        <v>509</v>
      </c>
      <c r="F879">
        <v>4</v>
      </c>
      <c r="G879">
        <f>PRODUCT(Details[[#This Row],[Selling_Cost]],Details[[#This Row],[Quantity]])</f>
        <v>2036</v>
      </c>
      <c r="H879" t="s">
        <v>8</v>
      </c>
      <c r="I879" t="s">
        <v>9</v>
      </c>
      <c r="J879" t="s">
        <v>10</v>
      </c>
      <c r="K879" t="s">
        <v>632</v>
      </c>
      <c r="L879" t="s">
        <v>565</v>
      </c>
    </row>
    <row r="880" spans="1:12" x14ac:dyDescent="0.3">
      <c r="A880" t="s">
        <v>19</v>
      </c>
      <c r="B880">
        <v>273</v>
      </c>
      <c r="C880">
        <v>-87</v>
      </c>
      <c r="D880">
        <v>1092</v>
      </c>
      <c r="E880">
        <f>SUM(Details[[#This Row],[Actual_Cost]],Details[[#This Row],[Profit]])</f>
        <v>1005</v>
      </c>
      <c r="F880">
        <v>4</v>
      </c>
      <c r="G880">
        <f>PRODUCT(Details[[#This Row],[Selling_Cost]],Details[[#This Row],[Quantity]])</f>
        <v>4020</v>
      </c>
      <c r="H880" t="s">
        <v>13</v>
      </c>
      <c r="I880" t="s">
        <v>14</v>
      </c>
      <c r="J880" t="s">
        <v>10</v>
      </c>
      <c r="K880" t="s">
        <v>552</v>
      </c>
      <c r="L880" t="s">
        <v>624</v>
      </c>
    </row>
    <row r="881" spans="1:12" x14ac:dyDescent="0.3">
      <c r="A881" t="s">
        <v>423</v>
      </c>
      <c r="B881">
        <v>241</v>
      </c>
      <c r="C881">
        <v>-77</v>
      </c>
      <c r="D881">
        <v>964</v>
      </c>
      <c r="E881">
        <f>SUM(Details[[#This Row],[Actual_Cost]],Details[[#This Row],[Profit]])</f>
        <v>887</v>
      </c>
      <c r="F881">
        <v>4</v>
      </c>
      <c r="G881">
        <f>PRODUCT(Details[[#This Row],[Selling_Cost]],Details[[#This Row],[Quantity]])</f>
        <v>3548</v>
      </c>
      <c r="H881" t="s">
        <v>13</v>
      </c>
      <c r="I881" t="s">
        <v>34</v>
      </c>
      <c r="J881" t="s">
        <v>10</v>
      </c>
      <c r="K881" t="s">
        <v>596</v>
      </c>
      <c r="L881" t="s">
        <v>541</v>
      </c>
    </row>
    <row r="882" spans="1:12" x14ac:dyDescent="0.3">
      <c r="A882" t="s">
        <v>59</v>
      </c>
      <c r="B882">
        <v>110</v>
      </c>
      <c r="C882">
        <v>-68</v>
      </c>
      <c r="D882">
        <v>440</v>
      </c>
      <c r="E882">
        <f>SUM(Details[[#This Row],[Actual_Cost]],Details[[#This Row],[Profit]])</f>
        <v>372</v>
      </c>
      <c r="F882">
        <v>4</v>
      </c>
      <c r="G882">
        <f>PRODUCT(Details[[#This Row],[Selling_Cost]],Details[[#This Row],[Quantity]])</f>
        <v>1488</v>
      </c>
      <c r="H882" t="s">
        <v>8</v>
      </c>
      <c r="I882" t="s">
        <v>9</v>
      </c>
      <c r="J882" t="s">
        <v>125</v>
      </c>
      <c r="K882" t="s">
        <v>552</v>
      </c>
      <c r="L882" t="s">
        <v>624</v>
      </c>
    </row>
    <row r="883" spans="1:12" x14ac:dyDescent="0.3">
      <c r="A883" t="s">
        <v>424</v>
      </c>
      <c r="B883">
        <v>69</v>
      </c>
      <c r="C883">
        <v>-67</v>
      </c>
      <c r="D883">
        <v>276</v>
      </c>
      <c r="E883">
        <f>SUM(Details[[#This Row],[Actual_Cost]],Details[[#This Row],[Profit]])</f>
        <v>209</v>
      </c>
      <c r="F883">
        <v>4</v>
      </c>
      <c r="G883">
        <f>PRODUCT(Details[[#This Row],[Selling_Cost]],Details[[#This Row],[Quantity]])</f>
        <v>836</v>
      </c>
      <c r="H883" t="s">
        <v>8</v>
      </c>
      <c r="I883" t="s">
        <v>44</v>
      </c>
      <c r="J883" t="s">
        <v>18</v>
      </c>
      <c r="K883" t="s">
        <v>552</v>
      </c>
      <c r="L883" t="s">
        <v>583</v>
      </c>
    </row>
    <row r="884" spans="1:12" x14ac:dyDescent="0.3">
      <c r="A884" t="s">
        <v>180</v>
      </c>
      <c r="B884">
        <v>93</v>
      </c>
      <c r="C884">
        <v>-65</v>
      </c>
      <c r="D884">
        <v>372</v>
      </c>
      <c r="E884">
        <f>SUM(Details[[#This Row],[Actual_Cost]],Details[[#This Row],[Profit]])</f>
        <v>307</v>
      </c>
      <c r="F884">
        <v>4</v>
      </c>
      <c r="G884">
        <f>PRODUCT(Details[[#This Row],[Selling_Cost]],Details[[#This Row],[Quantity]])</f>
        <v>1228</v>
      </c>
      <c r="H884" t="s">
        <v>8</v>
      </c>
      <c r="I884" t="s">
        <v>29</v>
      </c>
      <c r="J884" t="s">
        <v>27</v>
      </c>
      <c r="K884" t="s">
        <v>578</v>
      </c>
      <c r="L884" t="s">
        <v>554</v>
      </c>
    </row>
    <row r="885" spans="1:12" x14ac:dyDescent="0.3">
      <c r="A885" t="s">
        <v>35</v>
      </c>
      <c r="B885">
        <v>93</v>
      </c>
      <c r="C885">
        <v>-65</v>
      </c>
      <c r="D885">
        <v>372</v>
      </c>
      <c r="E885">
        <f>SUM(Details[[#This Row],[Actual_Cost]],Details[[#This Row],[Profit]])</f>
        <v>307</v>
      </c>
      <c r="F885">
        <v>4</v>
      </c>
      <c r="G885">
        <f>PRODUCT(Details[[#This Row],[Selling_Cost]],Details[[#This Row],[Quantity]])</f>
        <v>1228</v>
      </c>
      <c r="H885" t="s">
        <v>8</v>
      </c>
      <c r="I885" t="s">
        <v>29</v>
      </c>
      <c r="J885" t="s">
        <v>18</v>
      </c>
      <c r="K885" t="s">
        <v>543</v>
      </c>
      <c r="L885" t="s">
        <v>544</v>
      </c>
    </row>
    <row r="886" spans="1:12" x14ac:dyDescent="0.3">
      <c r="A886" t="s">
        <v>425</v>
      </c>
      <c r="B886">
        <v>158</v>
      </c>
      <c r="C886">
        <v>-63</v>
      </c>
      <c r="D886">
        <v>632</v>
      </c>
      <c r="E886">
        <f>SUM(Details[[#This Row],[Actual_Cost]],Details[[#This Row],[Profit]])</f>
        <v>569</v>
      </c>
      <c r="F886">
        <v>4</v>
      </c>
      <c r="G886">
        <f>PRODUCT(Details[[#This Row],[Selling_Cost]],Details[[#This Row],[Quantity]])</f>
        <v>2276</v>
      </c>
      <c r="H886" t="s">
        <v>16</v>
      </c>
      <c r="I886" t="s">
        <v>23</v>
      </c>
      <c r="J886" t="s">
        <v>18</v>
      </c>
      <c r="K886" t="s">
        <v>632</v>
      </c>
      <c r="L886" t="s">
        <v>614</v>
      </c>
    </row>
    <row r="887" spans="1:12" x14ac:dyDescent="0.3">
      <c r="A887" t="s">
        <v>426</v>
      </c>
      <c r="B887">
        <v>209</v>
      </c>
      <c r="C887">
        <v>-63</v>
      </c>
      <c r="D887">
        <v>836</v>
      </c>
      <c r="E887">
        <f>SUM(Details[[#This Row],[Actual_Cost]],Details[[#This Row],[Profit]])</f>
        <v>773</v>
      </c>
      <c r="F887">
        <v>4</v>
      </c>
      <c r="G887">
        <f>PRODUCT(Details[[#This Row],[Selling_Cost]],Details[[#This Row],[Quantity]])</f>
        <v>3092</v>
      </c>
      <c r="H887" t="s">
        <v>13</v>
      </c>
      <c r="I887" t="s">
        <v>34</v>
      </c>
      <c r="J887" t="s">
        <v>10</v>
      </c>
      <c r="K887" t="s">
        <v>592</v>
      </c>
      <c r="L887" t="s">
        <v>541</v>
      </c>
    </row>
    <row r="888" spans="1:12" x14ac:dyDescent="0.3">
      <c r="A888" t="s">
        <v>74</v>
      </c>
      <c r="B888">
        <v>200</v>
      </c>
      <c r="C888">
        <v>-60</v>
      </c>
      <c r="D888">
        <v>800</v>
      </c>
      <c r="E888">
        <f>SUM(Details[[#This Row],[Actual_Cost]],Details[[#This Row],[Profit]])</f>
        <v>740</v>
      </c>
      <c r="F888">
        <v>4</v>
      </c>
      <c r="G888">
        <f>PRODUCT(Details[[#This Row],[Selling_Cost]],Details[[#This Row],[Quantity]])</f>
        <v>2960</v>
      </c>
      <c r="H888" t="s">
        <v>16</v>
      </c>
      <c r="I888" t="s">
        <v>17</v>
      </c>
      <c r="J888" t="s">
        <v>18</v>
      </c>
      <c r="K888" t="s">
        <v>552</v>
      </c>
      <c r="L888" t="s">
        <v>624</v>
      </c>
    </row>
    <row r="889" spans="1:12" x14ac:dyDescent="0.3">
      <c r="A889" t="s">
        <v>427</v>
      </c>
      <c r="B889">
        <v>100</v>
      </c>
      <c r="C889">
        <v>-58</v>
      </c>
      <c r="D889">
        <v>400</v>
      </c>
      <c r="E889">
        <f>SUM(Details[[#This Row],[Actual_Cost]],Details[[#This Row],[Profit]])</f>
        <v>342</v>
      </c>
      <c r="F889">
        <v>4</v>
      </c>
      <c r="G889">
        <f>PRODUCT(Details[[#This Row],[Selling_Cost]],Details[[#This Row],[Quantity]])</f>
        <v>1368</v>
      </c>
      <c r="H889" t="s">
        <v>8</v>
      </c>
      <c r="I889" t="s">
        <v>48</v>
      </c>
      <c r="J889" t="s">
        <v>10</v>
      </c>
      <c r="K889" t="s">
        <v>552</v>
      </c>
      <c r="L889" t="s">
        <v>614</v>
      </c>
    </row>
    <row r="890" spans="1:12" x14ac:dyDescent="0.3">
      <c r="A890" t="s">
        <v>350</v>
      </c>
      <c r="B890">
        <v>140</v>
      </c>
      <c r="C890">
        <v>-58</v>
      </c>
      <c r="D890">
        <v>560</v>
      </c>
      <c r="E890">
        <f>SUM(Details[[#This Row],[Actual_Cost]],Details[[#This Row],[Profit]])</f>
        <v>502</v>
      </c>
      <c r="F890">
        <v>4</v>
      </c>
      <c r="G890">
        <f>PRODUCT(Details[[#This Row],[Selling_Cost]],Details[[#This Row],[Quantity]])</f>
        <v>2008</v>
      </c>
      <c r="H890" t="s">
        <v>16</v>
      </c>
      <c r="I890" t="s">
        <v>32</v>
      </c>
      <c r="J890" t="s">
        <v>10</v>
      </c>
      <c r="K890" t="s">
        <v>641</v>
      </c>
      <c r="L890" t="s">
        <v>583</v>
      </c>
    </row>
    <row r="891" spans="1:12" x14ac:dyDescent="0.3">
      <c r="A891" t="s">
        <v>357</v>
      </c>
      <c r="B891">
        <v>80</v>
      </c>
      <c r="C891">
        <v>-56</v>
      </c>
      <c r="D891">
        <v>320</v>
      </c>
      <c r="E891">
        <f>SUM(Details[[#This Row],[Actual_Cost]],Details[[#This Row],[Profit]])</f>
        <v>264</v>
      </c>
      <c r="F891">
        <v>4</v>
      </c>
      <c r="G891">
        <f>PRODUCT(Details[[#This Row],[Selling_Cost]],Details[[#This Row],[Quantity]])</f>
        <v>1056</v>
      </c>
      <c r="H891" t="s">
        <v>13</v>
      </c>
      <c r="I891" t="s">
        <v>34</v>
      </c>
      <c r="J891" t="s">
        <v>18</v>
      </c>
      <c r="K891" t="s">
        <v>569</v>
      </c>
      <c r="L891" t="s">
        <v>565</v>
      </c>
    </row>
    <row r="892" spans="1:12" x14ac:dyDescent="0.3">
      <c r="A892" t="s">
        <v>205</v>
      </c>
      <c r="B892">
        <v>107</v>
      </c>
      <c r="C892">
        <v>-54</v>
      </c>
      <c r="D892">
        <v>428</v>
      </c>
      <c r="E892">
        <f>SUM(Details[[#This Row],[Actual_Cost]],Details[[#This Row],[Profit]])</f>
        <v>374</v>
      </c>
      <c r="F892">
        <v>4</v>
      </c>
      <c r="G892">
        <f>PRODUCT(Details[[#This Row],[Selling_Cost]],Details[[#This Row],[Quantity]])</f>
        <v>1496</v>
      </c>
      <c r="H892" t="s">
        <v>8</v>
      </c>
      <c r="I892" t="s">
        <v>29</v>
      </c>
      <c r="J892" t="s">
        <v>125</v>
      </c>
      <c r="K892" t="s">
        <v>578</v>
      </c>
      <c r="L892" t="s">
        <v>565</v>
      </c>
    </row>
    <row r="893" spans="1:12" x14ac:dyDescent="0.3">
      <c r="A893" t="s">
        <v>209</v>
      </c>
      <c r="B893">
        <v>61</v>
      </c>
      <c r="C893">
        <v>-50</v>
      </c>
      <c r="D893">
        <v>244</v>
      </c>
      <c r="E893">
        <f>SUM(Details[[#This Row],[Actual_Cost]],Details[[#This Row],[Profit]])</f>
        <v>194</v>
      </c>
      <c r="F893">
        <v>4</v>
      </c>
      <c r="G893">
        <f>PRODUCT(Details[[#This Row],[Selling_Cost]],Details[[#This Row],[Quantity]])</f>
        <v>776</v>
      </c>
      <c r="H893" t="s">
        <v>8</v>
      </c>
      <c r="I893" t="s">
        <v>48</v>
      </c>
      <c r="J893" t="s">
        <v>10</v>
      </c>
      <c r="K893" t="s">
        <v>561</v>
      </c>
      <c r="L893" t="s">
        <v>563</v>
      </c>
    </row>
    <row r="894" spans="1:12" x14ac:dyDescent="0.3">
      <c r="A894" t="s">
        <v>286</v>
      </c>
      <c r="B894">
        <v>210</v>
      </c>
      <c r="C894">
        <v>-50</v>
      </c>
      <c r="D894">
        <v>840</v>
      </c>
      <c r="E894">
        <f>SUM(Details[[#This Row],[Actual_Cost]],Details[[#This Row],[Profit]])</f>
        <v>790</v>
      </c>
      <c r="F894">
        <v>4</v>
      </c>
      <c r="G894">
        <f>PRODUCT(Details[[#This Row],[Selling_Cost]],Details[[#This Row],[Quantity]])</f>
        <v>3160</v>
      </c>
      <c r="H894" t="s">
        <v>8</v>
      </c>
      <c r="I894" t="s">
        <v>48</v>
      </c>
      <c r="J894" t="s">
        <v>27</v>
      </c>
      <c r="K894" t="s">
        <v>578</v>
      </c>
      <c r="L894" t="s">
        <v>563</v>
      </c>
    </row>
    <row r="895" spans="1:12" x14ac:dyDescent="0.3">
      <c r="A895" t="s">
        <v>419</v>
      </c>
      <c r="B895">
        <v>1021</v>
      </c>
      <c r="C895">
        <v>-48</v>
      </c>
      <c r="D895">
        <v>4084</v>
      </c>
      <c r="E895">
        <f>SUM(Details[[#This Row],[Actual_Cost]],Details[[#This Row],[Profit]])</f>
        <v>4036</v>
      </c>
      <c r="F895">
        <v>4</v>
      </c>
      <c r="G895">
        <f>PRODUCT(Details[[#This Row],[Selling_Cost]],Details[[#This Row],[Quantity]])</f>
        <v>16144</v>
      </c>
      <c r="H895" t="s">
        <v>13</v>
      </c>
      <c r="I895" t="s">
        <v>34</v>
      </c>
      <c r="J895" t="s">
        <v>125</v>
      </c>
      <c r="K895" t="s">
        <v>552</v>
      </c>
      <c r="L895" t="s">
        <v>624</v>
      </c>
    </row>
    <row r="896" spans="1:12" x14ac:dyDescent="0.3">
      <c r="A896" t="s">
        <v>163</v>
      </c>
      <c r="B896">
        <v>122</v>
      </c>
      <c r="C896">
        <v>-47</v>
      </c>
      <c r="D896">
        <v>488</v>
      </c>
      <c r="E896">
        <f>SUM(Details[[#This Row],[Actual_Cost]],Details[[#This Row],[Profit]])</f>
        <v>441</v>
      </c>
      <c r="F896">
        <v>4</v>
      </c>
      <c r="G896">
        <f>PRODUCT(Details[[#This Row],[Selling_Cost]],Details[[#This Row],[Quantity]])</f>
        <v>1764</v>
      </c>
      <c r="H896" t="s">
        <v>8</v>
      </c>
      <c r="I896" t="s">
        <v>9</v>
      </c>
      <c r="J896" t="s">
        <v>125</v>
      </c>
      <c r="K896" t="s">
        <v>607</v>
      </c>
      <c r="L896" t="s">
        <v>565</v>
      </c>
    </row>
    <row r="897" spans="1:12" x14ac:dyDescent="0.3">
      <c r="A897" t="s">
        <v>181</v>
      </c>
      <c r="B897">
        <v>97</v>
      </c>
      <c r="C897">
        <v>-45</v>
      </c>
      <c r="D897">
        <v>388</v>
      </c>
      <c r="E897">
        <f>SUM(Details[[#This Row],[Actual_Cost]],Details[[#This Row],[Profit]])</f>
        <v>343</v>
      </c>
      <c r="F897">
        <v>4</v>
      </c>
      <c r="G897">
        <f>PRODUCT(Details[[#This Row],[Selling_Cost]],Details[[#This Row],[Quantity]])</f>
        <v>1372</v>
      </c>
      <c r="H897" t="s">
        <v>8</v>
      </c>
      <c r="I897" t="s">
        <v>9</v>
      </c>
      <c r="J897" t="s">
        <v>10</v>
      </c>
      <c r="K897" t="s">
        <v>552</v>
      </c>
      <c r="L897" t="s">
        <v>585</v>
      </c>
    </row>
    <row r="898" spans="1:12" x14ac:dyDescent="0.3">
      <c r="A898" t="s">
        <v>30</v>
      </c>
      <c r="B898">
        <v>130</v>
      </c>
      <c r="C898">
        <v>-41</v>
      </c>
      <c r="D898">
        <v>520</v>
      </c>
      <c r="E898">
        <f>SUM(Details[[#This Row],[Actual_Cost]],Details[[#This Row],[Profit]])</f>
        <v>479</v>
      </c>
      <c r="F898">
        <v>4</v>
      </c>
      <c r="G898">
        <f>PRODUCT(Details[[#This Row],[Selling_Cost]],Details[[#This Row],[Quantity]])</f>
        <v>1916</v>
      </c>
      <c r="H898" t="s">
        <v>8</v>
      </c>
      <c r="I898" t="s">
        <v>9</v>
      </c>
      <c r="J898" t="s">
        <v>125</v>
      </c>
      <c r="K898" t="s">
        <v>587</v>
      </c>
      <c r="L898" t="s">
        <v>624</v>
      </c>
    </row>
    <row r="899" spans="1:12" x14ac:dyDescent="0.3">
      <c r="A899" t="s">
        <v>74</v>
      </c>
      <c r="B899">
        <v>457</v>
      </c>
      <c r="C899">
        <v>-41</v>
      </c>
      <c r="D899">
        <v>1828</v>
      </c>
      <c r="E899">
        <f>SUM(Details[[#This Row],[Actual_Cost]],Details[[#This Row],[Profit]])</f>
        <v>1787</v>
      </c>
      <c r="F899">
        <v>4</v>
      </c>
      <c r="G899">
        <f>PRODUCT(Details[[#This Row],[Selling_Cost]],Details[[#This Row],[Quantity]])</f>
        <v>7148</v>
      </c>
      <c r="H899" t="s">
        <v>8</v>
      </c>
      <c r="I899" t="s">
        <v>9</v>
      </c>
      <c r="J899" t="s">
        <v>10</v>
      </c>
      <c r="K899" t="s">
        <v>552</v>
      </c>
      <c r="L899" t="s">
        <v>624</v>
      </c>
    </row>
    <row r="900" spans="1:12" x14ac:dyDescent="0.3">
      <c r="A900" t="s">
        <v>428</v>
      </c>
      <c r="B900">
        <v>55</v>
      </c>
      <c r="C900">
        <v>-39</v>
      </c>
      <c r="D900">
        <v>220</v>
      </c>
      <c r="E900">
        <f>SUM(Details[[#This Row],[Actual_Cost]],Details[[#This Row],[Profit]])</f>
        <v>181</v>
      </c>
      <c r="F900">
        <v>4</v>
      </c>
      <c r="G900">
        <f>PRODUCT(Details[[#This Row],[Selling_Cost]],Details[[#This Row],[Quantity]])</f>
        <v>724</v>
      </c>
      <c r="H900" t="s">
        <v>8</v>
      </c>
      <c r="I900" t="s">
        <v>29</v>
      </c>
      <c r="J900" t="s">
        <v>10</v>
      </c>
      <c r="K900" t="s">
        <v>552</v>
      </c>
      <c r="L900" t="s">
        <v>565</v>
      </c>
    </row>
    <row r="901" spans="1:12" x14ac:dyDescent="0.3">
      <c r="A901" t="s">
        <v>424</v>
      </c>
      <c r="B901">
        <v>1076</v>
      </c>
      <c r="C901">
        <v>-38</v>
      </c>
      <c r="D901">
        <v>4304</v>
      </c>
      <c r="E901">
        <f>SUM(Details[[#This Row],[Actual_Cost]],Details[[#This Row],[Profit]])</f>
        <v>4266</v>
      </c>
      <c r="F901">
        <v>4</v>
      </c>
      <c r="G901">
        <f>PRODUCT(Details[[#This Row],[Selling_Cost]],Details[[#This Row],[Quantity]])</f>
        <v>17064</v>
      </c>
      <c r="H901" t="s">
        <v>13</v>
      </c>
      <c r="I901" t="s">
        <v>20</v>
      </c>
      <c r="J901" t="s">
        <v>27</v>
      </c>
      <c r="K901" t="s">
        <v>552</v>
      </c>
      <c r="L901" t="s">
        <v>583</v>
      </c>
    </row>
    <row r="902" spans="1:12" x14ac:dyDescent="0.3">
      <c r="A902" t="s">
        <v>205</v>
      </c>
      <c r="B902">
        <v>1076</v>
      </c>
      <c r="C902">
        <v>-38</v>
      </c>
      <c r="D902">
        <v>4304</v>
      </c>
      <c r="E902">
        <f>SUM(Details[[#This Row],[Actual_Cost]],Details[[#This Row],[Profit]])</f>
        <v>4266</v>
      </c>
      <c r="F902">
        <v>4</v>
      </c>
      <c r="G902">
        <f>PRODUCT(Details[[#This Row],[Selling_Cost]],Details[[#This Row],[Quantity]])</f>
        <v>17064</v>
      </c>
      <c r="H902" t="s">
        <v>13</v>
      </c>
      <c r="I902" t="s">
        <v>20</v>
      </c>
      <c r="J902" t="s">
        <v>10</v>
      </c>
      <c r="K902" t="s">
        <v>578</v>
      </c>
      <c r="L902" t="s">
        <v>565</v>
      </c>
    </row>
    <row r="903" spans="1:12" x14ac:dyDescent="0.3">
      <c r="A903" t="s">
        <v>262</v>
      </c>
      <c r="B903">
        <v>89</v>
      </c>
      <c r="C903">
        <v>-37</v>
      </c>
      <c r="D903">
        <v>356</v>
      </c>
      <c r="E903">
        <f>SUM(Details[[#This Row],[Actual_Cost]],Details[[#This Row],[Profit]])</f>
        <v>319</v>
      </c>
      <c r="F903">
        <v>4</v>
      </c>
      <c r="G903">
        <f>PRODUCT(Details[[#This Row],[Selling_Cost]],Details[[#This Row],[Quantity]])</f>
        <v>1276</v>
      </c>
      <c r="H903" t="s">
        <v>8</v>
      </c>
      <c r="I903" t="s">
        <v>61</v>
      </c>
      <c r="J903" t="s">
        <v>10</v>
      </c>
      <c r="K903" t="s">
        <v>548</v>
      </c>
      <c r="L903" t="s">
        <v>546</v>
      </c>
    </row>
    <row r="904" spans="1:12" x14ac:dyDescent="0.3">
      <c r="A904" t="s">
        <v>323</v>
      </c>
      <c r="B904">
        <v>82</v>
      </c>
      <c r="C904">
        <v>-33</v>
      </c>
      <c r="D904">
        <v>328</v>
      </c>
      <c r="E904">
        <f>SUM(Details[[#This Row],[Actual_Cost]],Details[[#This Row],[Profit]])</f>
        <v>295</v>
      </c>
      <c r="F904">
        <v>4</v>
      </c>
      <c r="G904">
        <f>PRODUCT(Details[[#This Row],[Selling_Cost]],Details[[#This Row],[Quantity]])</f>
        <v>1180</v>
      </c>
      <c r="H904" t="s">
        <v>8</v>
      </c>
      <c r="I904" t="s">
        <v>44</v>
      </c>
      <c r="J904" t="s">
        <v>10</v>
      </c>
      <c r="K904" t="s">
        <v>592</v>
      </c>
      <c r="L904" t="s">
        <v>567</v>
      </c>
    </row>
    <row r="905" spans="1:12" x14ac:dyDescent="0.3">
      <c r="A905" t="s">
        <v>170</v>
      </c>
      <c r="B905">
        <v>465</v>
      </c>
      <c r="C905">
        <v>-33</v>
      </c>
      <c r="D905">
        <v>1860</v>
      </c>
      <c r="E905">
        <f>SUM(Details[[#This Row],[Actual_Cost]],Details[[#This Row],[Profit]])</f>
        <v>1827</v>
      </c>
      <c r="F905">
        <v>4</v>
      </c>
      <c r="G905">
        <f>PRODUCT(Details[[#This Row],[Selling_Cost]],Details[[#This Row],[Quantity]])</f>
        <v>7308</v>
      </c>
      <c r="H905" t="s">
        <v>13</v>
      </c>
      <c r="I905" t="s">
        <v>14</v>
      </c>
      <c r="J905" t="s">
        <v>125</v>
      </c>
      <c r="K905" t="s">
        <v>548</v>
      </c>
      <c r="L905" t="s">
        <v>554</v>
      </c>
    </row>
    <row r="906" spans="1:12" x14ac:dyDescent="0.3">
      <c r="A906" t="s">
        <v>181</v>
      </c>
      <c r="B906">
        <v>47</v>
      </c>
      <c r="C906">
        <v>-27</v>
      </c>
      <c r="D906">
        <v>188</v>
      </c>
      <c r="E906">
        <f>SUM(Details[[#This Row],[Actual_Cost]],Details[[#This Row],[Profit]])</f>
        <v>161</v>
      </c>
      <c r="F906">
        <v>4</v>
      </c>
      <c r="G906">
        <f>PRODUCT(Details[[#This Row],[Selling_Cost]],Details[[#This Row],[Quantity]])</f>
        <v>644</v>
      </c>
      <c r="H906" t="s">
        <v>8</v>
      </c>
      <c r="I906" t="s">
        <v>9</v>
      </c>
      <c r="J906" t="s">
        <v>10</v>
      </c>
      <c r="K906" t="s">
        <v>552</v>
      </c>
      <c r="L906" t="s">
        <v>585</v>
      </c>
    </row>
    <row r="907" spans="1:12" x14ac:dyDescent="0.3">
      <c r="A907" t="s">
        <v>190</v>
      </c>
      <c r="B907">
        <v>47</v>
      </c>
      <c r="C907">
        <v>-27</v>
      </c>
      <c r="D907">
        <v>188</v>
      </c>
      <c r="E907">
        <f>SUM(Details[[#This Row],[Actual_Cost]],Details[[#This Row],[Profit]])</f>
        <v>161</v>
      </c>
      <c r="F907">
        <v>4</v>
      </c>
      <c r="G907">
        <f>PRODUCT(Details[[#This Row],[Selling_Cost]],Details[[#This Row],[Quantity]])</f>
        <v>644</v>
      </c>
      <c r="H907" t="s">
        <v>8</v>
      </c>
      <c r="I907" t="s">
        <v>9</v>
      </c>
      <c r="J907" t="s">
        <v>125</v>
      </c>
      <c r="K907" t="s">
        <v>569</v>
      </c>
      <c r="L907" t="s">
        <v>563</v>
      </c>
    </row>
    <row r="908" spans="1:12" x14ac:dyDescent="0.3">
      <c r="A908" t="s">
        <v>30</v>
      </c>
      <c r="B908">
        <v>55</v>
      </c>
      <c r="C908">
        <v>-26</v>
      </c>
      <c r="D908">
        <v>220</v>
      </c>
      <c r="E908">
        <f>SUM(Details[[#This Row],[Actual_Cost]],Details[[#This Row],[Profit]])</f>
        <v>194</v>
      </c>
      <c r="F908">
        <v>4</v>
      </c>
      <c r="G908">
        <f>PRODUCT(Details[[#This Row],[Selling_Cost]],Details[[#This Row],[Quantity]])</f>
        <v>776</v>
      </c>
      <c r="H908" t="s">
        <v>8</v>
      </c>
      <c r="I908" t="s">
        <v>9</v>
      </c>
      <c r="J908" t="s">
        <v>18</v>
      </c>
      <c r="K908" t="s">
        <v>587</v>
      </c>
      <c r="L908" t="s">
        <v>624</v>
      </c>
    </row>
    <row r="909" spans="1:12" x14ac:dyDescent="0.3">
      <c r="A909" t="s">
        <v>424</v>
      </c>
      <c r="B909">
        <v>61</v>
      </c>
      <c r="C909">
        <v>-25</v>
      </c>
      <c r="D909">
        <v>244</v>
      </c>
      <c r="E909">
        <f>SUM(Details[[#This Row],[Actual_Cost]],Details[[#This Row],[Profit]])</f>
        <v>219</v>
      </c>
      <c r="F909">
        <v>4</v>
      </c>
      <c r="G909">
        <f>PRODUCT(Details[[#This Row],[Selling_Cost]],Details[[#This Row],[Quantity]])</f>
        <v>876</v>
      </c>
      <c r="H909" t="s">
        <v>13</v>
      </c>
      <c r="I909" t="s">
        <v>55</v>
      </c>
      <c r="J909" t="s">
        <v>18</v>
      </c>
      <c r="K909" t="s">
        <v>552</v>
      </c>
      <c r="L909" t="s">
        <v>583</v>
      </c>
    </row>
    <row r="910" spans="1:12" x14ac:dyDescent="0.3">
      <c r="A910" t="s">
        <v>170</v>
      </c>
      <c r="B910">
        <v>29</v>
      </c>
      <c r="C910">
        <v>-24</v>
      </c>
      <c r="D910">
        <v>116</v>
      </c>
      <c r="E910">
        <f>SUM(Details[[#This Row],[Actual_Cost]],Details[[#This Row],[Profit]])</f>
        <v>92</v>
      </c>
      <c r="F910">
        <v>4</v>
      </c>
      <c r="G910">
        <f>PRODUCT(Details[[#This Row],[Selling_Cost]],Details[[#This Row],[Quantity]])</f>
        <v>368</v>
      </c>
      <c r="H910" t="s">
        <v>8</v>
      </c>
      <c r="I910" t="s">
        <v>69</v>
      </c>
      <c r="J910" t="s">
        <v>10</v>
      </c>
      <c r="K910" t="s">
        <v>548</v>
      </c>
      <c r="L910" t="s">
        <v>554</v>
      </c>
    </row>
    <row r="911" spans="1:12" x14ac:dyDescent="0.3">
      <c r="A911" t="s">
        <v>227</v>
      </c>
      <c r="B911">
        <v>119</v>
      </c>
      <c r="C911">
        <v>-24</v>
      </c>
      <c r="D911">
        <v>476</v>
      </c>
      <c r="E911">
        <f>SUM(Details[[#This Row],[Actual_Cost]],Details[[#This Row],[Profit]])</f>
        <v>452</v>
      </c>
      <c r="F911">
        <v>4</v>
      </c>
      <c r="G911">
        <f>PRODUCT(Details[[#This Row],[Selling_Cost]],Details[[#This Row],[Quantity]])</f>
        <v>1808</v>
      </c>
      <c r="H911" t="s">
        <v>16</v>
      </c>
      <c r="I911" t="s">
        <v>32</v>
      </c>
      <c r="J911" t="s">
        <v>10</v>
      </c>
      <c r="K911" t="s">
        <v>539</v>
      </c>
      <c r="L911" t="s">
        <v>546</v>
      </c>
    </row>
    <row r="912" spans="1:12" x14ac:dyDescent="0.3">
      <c r="A912" t="s">
        <v>49</v>
      </c>
      <c r="B912">
        <v>37</v>
      </c>
      <c r="C912">
        <v>-23</v>
      </c>
      <c r="D912">
        <v>148</v>
      </c>
      <c r="E912">
        <f>SUM(Details[[#This Row],[Actual_Cost]],Details[[#This Row],[Profit]])</f>
        <v>125</v>
      </c>
      <c r="F912">
        <v>4</v>
      </c>
      <c r="G912">
        <f>PRODUCT(Details[[#This Row],[Selling_Cost]],Details[[#This Row],[Quantity]])</f>
        <v>500</v>
      </c>
      <c r="H912" t="s">
        <v>8</v>
      </c>
      <c r="I912" t="s">
        <v>61</v>
      </c>
      <c r="J912" t="s">
        <v>18</v>
      </c>
      <c r="K912" t="s">
        <v>641</v>
      </c>
      <c r="L912" t="s">
        <v>565</v>
      </c>
    </row>
    <row r="913" spans="1:12" x14ac:dyDescent="0.3">
      <c r="A913" t="s">
        <v>151</v>
      </c>
      <c r="B913">
        <v>34</v>
      </c>
      <c r="C913">
        <v>-22</v>
      </c>
      <c r="D913">
        <v>136</v>
      </c>
      <c r="E913">
        <f>SUM(Details[[#This Row],[Actual_Cost]],Details[[#This Row],[Profit]])</f>
        <v>114</v>
      </c>
      <c r="F913">
        <v>4</v>
      </c>
      <c r="G913">
        <f>PRODUCT(Details[[#This Row],[Selling_Cost]],Details[[#This Row],[Quantity]])</f>
        <v>456</v>
      </c>
      <c r="H913" t="s">
        <v>8</v>
      </c>
      <c r="I913" t="s">
        <v>46</v>
      </c>
      <c r="J913" t="s">
        <v>10</v>
      </c>
      <c r="K913" t="s">
        <v>587</v>
      </c>
      <c r="L913" t="s">
        <v>565</v>
      </c>
    </row>
    <row r="914" spans="1:12" x14ac:dyDescent="0.3">
      <c r="A914" t="s">
        <v>243</v>
      </c>
      <c r="B914">
        <v>19</v>
      </c>
      <c r="C914">
        <v>-18</v>
      </c>
      <c r="D914">
        <v>76</v>
      </c>
      <c r="E914">
        <f>SUM(Details[[#This Row],[Actual_Cost]],Details[[#This Row],[Profit]])</f>
        <v>58</v>
      </c>
      <c r="F914">
        <v>4</v>
      </c>
      <c r="G914">
        <f>PRODUCT(Details[[#This Row],[Selling_Cost]],Details[[#This Row],[Quantity]])</f>
        <v>232</v>
      </c>
      <c r="H914" t="s">
        <v>8</v>
      </c>
      <c r="I914" t="s">
        <v>44</v>
      </c>
      <c r="J914" t="s">
        <v>10</v>
      </c>
      <c r="K914" t="s">
        <v>578</v>
      </c>
      <c r="L914" t="s">
        <v>541</v>
      </c>
    </row>
    <row r="915" spans="1:12" x14ac:dyDescent="0.3">
      <c r="A915" t="s">
        <v>45</v>
      </c>
      <c r="B915">
        <v>53</v>
      </c>
      <c r="C915">
        <v>-18</v>
      </c>
      <c r="D915">
        <v>212</v>
      </c>
      <c r="E915">
        <f>SUM(Details[[#This Row],[Actual_Cost]],Details[[#This Row],[Profit]])</f>
        <v>194</v>
      </c>
      <c r="F915">
        <v>4</v>
      </c>
      <c r="G915">
        <f>PRODUCT(Details[[#This Row],[Selling_Cost]],Details[[#This Row],[Quantity]])</f>
        <v>776</v>
      </c>
      <c r="H915" t="s">
        <v>8</v>
      </c>
      <c r="I915" t="s">
        <v>46</v>
      </c>
      <c r="J915" t="s">
        <v>18</v>
      </c>
      <c r="K915" t="s">
        <v>548</v>
      </c>
      <c r="L915" t="s">
        <v>614</v>
      </c>
    </row>
    <row r="916" spans="1:12" x14ac:dyDescent="0.3">
      <c r="A916" t="s">
        <v>210</v>
      </c>
      <c r="B916">
        <v>16</v>
      </c>
      <c r="C916">
        <v>-15</v>
      </c>
      <c r="D916">
        <v>64</v>
      </c>
      <c r="E916">
        <f>SUM(Details[[#This Row],[Actual_Cost]],Details[[#This Row],[Profit]])</f>
        <v>49</v>
      </c>
      <c r="F916">
        <v>4</v>
      </c>
      <c r="G916">
        <f>PRODUCT(Details[[#This Row],[Selling_Cost]],Details[[#This Row],[Quantity]])</f>
        <v>196</v>
      </c>
      <c r="H916" t="s">
        <v>8</v>
      </c>
      <c r="I916" t="s">
        <v>48</v>
      </c>
      <c r="J916" t="s">
        <v>18</v>
      </c>
      <c r="K916" t="s">
        <v>569</v>
      </c>
      <c r="L916" t="s">
        <v>567</v>
      </c>
    </row>
    <row r="917" spans="1:12" x14ac:dyDescent="0.3">
      <c r="A917" t="s">
        <v>181</v>
      </c>
      <c r="B917">
        <v>22</v>
      </c>
      <c r="C917">
        <v>-15</v>
      </c>
      <c r="D917">
        <v>88</v>
      </c>
      <c r="E917">
        <f>SUM(Details[[#This Row],[Actual_Cost]],Details[[#This Row],[Profit]])</f>
        <v>73</v>
      </c>
      <c r="F917">
        <v>4</v>
      </c>
      <c r="G917">
        <f>PRODUCT(Details[[#This Row],[Selling_Cost]],Details[[#This Row],[Quantity]])</f>
        <v>292</v>
      </c>
      <c r="H917" t="s">
        <v>8</v>
      </c>
      <c r="I917" t="s">
        <v>44</v>
      </c>
      <c r="J917" t="s">
        <v>10</v>
      </c>
      <c r="K917" t="s">
        <v>552</v>
      </c>
      <c r="L917" t="s">
        <v>585</v>
      </c>
    </row>
    <row r="918" spans="1:12" x14ac:dyDescent="0.3">
      <c r="A918" t="s">
        <v>429</v>
      </c>
      <c r="B918">
        <v>50</v>
      </c>
      <c r="C918">
        <v>-15</v>
      </c>
      <c r="D918">
        <v>200</v>
      </c>
      <c r="E918">
        <f>SUM(Details[[#This Row],[Actual_Cost]],Details[[#This Row],[Profit]])</f>
        <v>185</v>
      </c>
      <c r="F918">
        <v>4</v>
      </c>
      <c r="G918">
        <f>PRODUCT(Details[[#This Row],[Selling_Cost]],Details[[#This Row],[Quantity]])</f>
        <v>740</v>
      </c>
      <c r="H918" t="s">
        <v>8</v>
      </c>
      <c r="I918" t="s">
        <v>69</v>
      </c>
      <c r="J918" t="s">
        <v>10</v>
      </c>
      <c r="K918" t="s">
        <v>641</v>
      </c>
      <c r="L918" t="s">
        <v>565</v>
      </c>
    </row>
    <row r="919" spans="1:12" x14ac:dyDescent="0.3">
      <c r="A919" t="s">
        <v>430</v>
      </c>
      <c r="B919">
        <v>71</v>
      </c>
      <c r="C919">
        <v>-14</v>
      </c>
      <c r="D919">
        <v>284</v>
      </c>
      <c r="E919">
        <f>SUM(Details[[#This Row],[Actual_Cost]],Details[[#This Row],[Profit]])</f>
        <v>270</v>
      </c>
      <c r="F919">
        <v>4</v>
      </c>
      <c r="G919">
        <f>PRODUCT(Details[[#This Row],[Selling_Cost]],Details[[#This Row],[Quantity]])</f>
        <v>1080</v>
      </c>
      <c r="H919" t="s">
        <v>16</v>
      </c>
      <c r="I919" t="s">
        <v>32</v>
      </c>
      <c r="J919" t="s">
        <v>10</v>
      </c>
      <c r="K919" t="s">
        <v>552</v>
      </c>
      <c r="L919" t="s">
        <v>546</v>
      </c>
    </row>
    <row r="920" spans="1:12" x14ac:dyDescent="0.3">
      <c r="A920" t="s">
        <v>102</v>
      </c>
      <c r="B920">
        <v>17</v>
      </c>
      <c r="C920">
        <v>-13</v>
      </c>
      <c r="D920">
        <v>68</v>
      </c>
      <c r="E920">
        <f>SUM(Details[[#This Row],[Actual_Cost]],Details[[#This Row],[Profit]])</f>
        <v>55</v>
      </c>
      <c r="F920">
        <v>4</v>
      </c>
      <c r="G920">
        <f>PRODUCT(Details[[#This Row],[Selling_Cost]],Details[[#This Row],[Quantity]])</f>
        <v>220</v>
      </c>
      <c r="H920" t="s">
        <v>8</v>
      </c>
      <c r="I920" t="s">
        <v>58</v>
      </c>
      <c r="J920" t="s">
        <v>42</v>
      </c>
      <c r="K920" t="s">
        <v>552</v>
      </c>
      <c r="L920" t="s">
        <v>554</v>
      </c>
    </row>
    <row r="921" spans="1:12" x14ac:dyDescent="0.3">
      <c r="A921" t="s">
        <v>363</v>
      </c>
      <c r="B921">
        <v>60</v>
      </c>
      <c r="C921">
        <v>-12</v>
      </c>
      <c r="D921">
        <v>240</v>
      </c>
      <c r="E921">
        <f>SUM(Details[[#This Row],[Actual_Cost]],Details[[#This Row],[Profit]])</f>
        <v>228</v>
      </c>
      <c r="F921">
        <v>4</v>
      </c>
      <c r="G921">
        <f>PRODUCT(Details[[#This Row],[Selling_Cost]],Details[[#This Row],[Quantity]])</f>
        <v>912</v>
      </c>
      <c r="H921" t="s">
        <v>8</v>
      </c>
      <c r="I921" t="s">
        <v>48</v>
      </c>
      <c r="J921" t="s">
        <v>42</v>
      </c>
      <c r="K921" t="s">
        <v>552</v>
      </c>
      <c r="L921" t="s">
        <v>583</v>
      </c>
    </row>
    <row r="922" spans="1:12" x14ac:dyDescent="0.3">
      <c r="A922" t="s">
        <v>431</v>
      </c>
      <c r="B922">
        <v>31</v>
      </c>
      <c r="C922">
        <v>-11</v>
      </c>
      <c r="D922">
        <v>124</v>
      </c>
      <c r="E922">
        <f>SUM(Details[[#This Row],[Actual_Cost]],Details[[#This Row],[Profit]])</f>
        <v>113</v>
      </c>
      <c r="F922">
        <v>4</v>
      </c>
      <c r="G922">
        <f>PRODUCT(Details[[#This Row],[Selling_Cost]],Details[[#This Row],[Quantity]])</f>
        <v>452</v>
      </c>
      <c r="H922" t="s">
        <v>8</v>
      </c>
      <c r="I922" t="s">
        <v>29</v>
      </c>
      <c r="J922" t="s">
        <v>10</v>
      </c>
      <c r="K922" t="s">
        <v>661</v>
      </c>
      <c r="L922" t="s">
        <v>614</v>
      </c>
    </row>
    <row r="923" spans="1:12" x14ac:dyDescent="0.3">
      <c r="A923" t="s">
        <v>67</v>
      </c>
      <c r="B923">
        <v>21</v>
      </c>
      <c r="C923">
        <v>-10</v>
      </c>
      <c r="D923">
        <v>84</v>
      </c>
      <c r="E923">
        <f>SUM(Details[[#This Row],[Actual_Cost]],Details[[#This Row],[Profit]])</f>
        <v>74</v>
      </c>
      <c r="F923">
        <v>4</v>
      </c>
      <c r="G923">
        <f>PRODUCT(Details[[#This Row],[Selling_Cost]],Details[[#This Row],[Quantity]])</f>
        <v>296</v>
      </c>
      <c r="H923" t="s">
        <v>8</v>
      </c>
      <c r="I923" t="s">
        <v>69</v>
      </c>
      <c r="J923" t="s">
        <v>10</v>
      </c>
      <c r="K923" t="s">
        <v>552</v>
      </c>
      <c r="L923" t="s">
        <v>563</v>
      </c>
    </row>
    <row r="924" spans="1:12" x14ac:dyDescent="0.3">
      <c r="A924" t="s">
        <v>412</v>
      </c>
      <c r="B924">
        <v>43</v>
      </c>
      <c r="C924">
        <v>-10</v>
      </c>
      <c r="D924">
        <v>172</v>
      </c>
      <c r="E924">
        <f>SUM(Details[[#This Row],[Actual_Cost]],Details[[#This Row],[Profit]])</f>
        <v>162</v>
      </c>
      <c r="F924">
        <v>4</v>
      </c>
      <c r="G924">
        <f>PRODUCT(Details[[#This Row],[Selling_Cost]],Details[[#This Row],[Quantity]])</f>
        <v>648</v>
      </c>
      <c r="H924" t="s">
        <v>8</v>
      </c>
      <c r="I924" t="s">
        <v>58</v>
      </c>
      <c r="J924" t="s">
        <v>10</v>
      </c>
      <c r="K924" t="s">
        <v>543</v>
      </c>
      <c r="L924" t="s">
        <v>544</v>
      </c>
    </row>
    <row r="925" spans="1:12" x14ac:dyDescent="0.3">
      <c r="A925" t="s">
        <v>184</v>
      </c>
      <c r="B925">
        <v>85</v>
      </c>
      <c r="C925">
        <v>-9</v>
      </c>
      <c r="D925">
        <v>340</v>
      </c>
      <c r="E925">
        <f>SUM(Details[[#This Row],[Actual_Cost]],Details[[#This Row],[Profit]])</f>
        <v>331</v>
      </c>
      <c r="F925">
        <v>4</v>
      </c>
      <c r="G925">
        <f>PRODUCT(Details[[#This Row],[Selling_Cost]],Details[[#This Row],[Quantity]])</f>
        <v>1324</v>
      </c>
      <c r="H925" t="s">
        <v>8</v>
      </c>
      <c r="I925" t="s">
        <v>9</v>
      </c>
      <c r="J925" t="s">
        <v>10</v>
      </c>
      <c r="K925" t="s">
        <v>592</v>
      </c>
      <c r="L925" t="s">
        <v>583</v>
      </c>
    </row>
    <row r="926" spans="1:12" x14ac:dyDescent="0.3">
      <c r="A926" t="s">
        <v>197</v>
      </c>
      <c r="B926">
        <v>219</v>
      </c>
      <c r="C926">
        <v>-9</v>
      </c>
      <c r="D926">
        <v>876</v>
      </c>
      <c r="E926">
        <f>SUM(Details[[#This Row],[Actual_Cost]],Details[[#This Row],[Profit]])</f>
        <v>867</v>
      </c>
      <c r="F926">
        <v>4</v>
      </c>
      <c r="G926">
        <f>PRODUCT(Details[[#This Row],[Selling_Cost]],Details[[#This Row],[Quantity]])</f>
        <v>3468</v>
      </c>
      <c r="H926" t="s">
        <v>8</v>
      </c>
      <c r="I926" t="s">
        <v>9</v>
      </c>
      <c r="J926" t="s">
        <v>27</v>
      </c>
      <c r="K926" t="s">
        <v>578</v>
      </c>
      <c r="L926" t="s">
        <v>565</v>
      </c>
    </row>
    <row r="927" spans="1:12" x14ac:dyDescent="0.3">
      <c r="A927" t="s">
        <v>129</v>
      </c>
      <c r="B927">
        <v>22</v>
      </c>
      <c r="C927">
        <v>-8</v>
      </c>
      <c r="D927">
        <v>88</v>
      </c>
      <c r="E927">
        <f>SUM(Details[[#This Row],[Actual_Cost]],Details[[#This Row],[Profit]])</f>
        <v>80</v>
      </c>
      <c r="F927">
        <v>4</v>
      </c>
      <c r="G927">
        <f>PRODUCT(Details[[#This Row],[Selling_Cost]],Details[[#This Row],[Quantity]])</f>
        <v>320</v>
      </c>
      <c r="H927" t="s">
        <v>8</v>
      </c>
      <c r="I927" t="s">
        <v>48</v>
      </c>
      <c r="J927" t="s">
        <v>27</v>
      </c>
      <c r="K927" t="s">
        <v>561</v>
      </c>
      <c r="L927" t="s">
        <v>546</v>
      </c>
    </row>
    <row r="928" spans="1:12" x14ac:dyDescent="0.3">
      <c r="A928" t="s">
        <v>160</v>
      </c>
      <c r="B928">
        <v>711</v>
      </c>
      <c r="C928">
        <v>-8</v>
      </c>
      <c r="D928">
        <v>2844</v>
      </c>
      <c r="E928">
        <f>SUM(Details[[#This Row],[Actual_Cost]],Details[[#This Row],[Profit]])</f>
        <v>2836</v>
      </c>
      <c r="F928">
        <v>4</v>
      </c>
      <c r="G928">
        <f>PRODUCT(Details[[#This Row],[Selling_Cost]],Details[[#This Row],[Quantity]])</f>
        <v>11344</v>
      </c>
      <c r="H928" t="s">
        <v>8</v>
      </c>
      <c r="I928" t="s">
        <v>9</v>
      </c>
      <c r="J928" t="s">
        <v>42</v>
      </c>
      <c r="K928" t="s">
        <v>711</v>
      </c>
      <c r="L928" t="s">
        <v>565</v>
      </c>
    </row>
    <row r="929" spans="1:12" x14ac:dyDescent="0.3">
      <c r="A929" t="s">
        <v>204</v>
      </c>
      <c r="B929">
        <v>144</v>
      </c>
      <c r="C929">
        <v>-7</v>
      </c>
      <c r="D929">
        <v>576</v>
      </c>
      <c r="E929">
        <f>SUM(Details[[#This Row],[Actual_Cost]],Details[[#This Row],[Profit]])</f>
        <v>569</v>
      </c>
      <c r="F929">
        <v>4</v>
      </c>
      <c r="G929">
        <f>PRODUCT(Details[[#This Row],[Selling_Cost]],Details[[#This Row],[Quantity]])</f>
        <v>2276</v>
      </c>
      <c r="H929" t="s">
        <v>13</v>
      </c>
      <c r="I929" t="s">
        <v>34</v>
      </c>
      <c r="J929" t="s">
        <v>10</v>
      </c>
      <c r="K929" t="s">
        <v>596</v>
      </c>
      <c r="L929" t="s">
        <v>614</v>
      </c>
    </row>
    <row r="930" spans="1:12" x14ac:dyDescent="0.3">
      <c r="A930" t="s">
        <v>323</v>
      </c>
      <c r="B930">
        <v>274</v>
      </c>
      <c r="C930">
        <v>-7</v>
      </c>
      <c r="D930">
        <v>1096</v>
      </c>
      <c r="E930">
        <f>SUM(Details[[#This Row],[Actual_Cost]],Details[[#This Row],[Profit]])</f>
        <v>1089</v>
      </c>
      <c r="F930">
        <v>4</v>
      </c>
      <c r="G930">
        <f>PRODUCT(Details[[#This Row],[Selling_Cost]],Details[[#This Row],[Quantity]])</f>
        <v>4356</v>
      </c>
      <c r="H930" t="s">
        <v>13</v>
      </c>
      <c r="I930" t="s">
        <v>14</v>
      </c>
      <c r="J930" t="s">
        <v>10</v>
      </c>
      <c r="K930" t="s">
        <v>592</v>
      </c>
      <c r="L930" t="s">
        <v>567</v>
      </c>
    </row>
    <row r="931" spans="1:12" x14ac:dyDescent="0.3">
      <c r="A931" t="s">
        <v>193</v>
      </c>
      <c r="B931">
        <v>23</v>
      </c>
      <c r="C931">
        <v>-6</v>
      </c>
      <c r="D931">
        <v>92</v>
      </c>
      <c r="E931">
        <f>SUM(Details[[#This Row],[Actual_Cost]],Details[[#This Row],[Profit]])</f>
        <v>86</v>
      </c>
      <c r="F931">
        <v>4</v>
      </c>
      <c r="G931">
        <f>PRODUCT(Details[[#This Row],[Selling_Cost]],Details[[#This Row],[Quantity]])</f>
        <v>344</v>
      </c>
      <c r="H931" t="s">
        <v>8</v>
      </c>
      <c r="I931" t="s">
        <v>48</v>
      </c>
      <c r="J931" t="s">
        <v>10</v>
      </c>
      <c r="K931" t="s">
        <v>548</v>
      </c>
      <c r="L931" t="s">
        <v>614</v>
      </c>
    </row>
    <row r="932" spans="1:12" x14ac:dyDescent="0.3">
      <c r="A932" t="s">
        <v>64</v>
      </c>
      <c r="B932">
        <v>27</v>
      </c>
      <c r="C932">
        <v>-6</v>
      </c>
      <c r="D932">
        <v>108</v>
      </c>
      <c r="E932">
        <f>SUM(Details[[#This Row],[Actual_Cost]],Details[[#This Row],[Profit]])</f>
        <v>102</v>
      </c>
      <c r="F932">
        <v>4</v>
      </c>
      <c r="G932">
        <f>PRODUCT(Details[[#This Row],[Selling_Cost]],Details[[#This Row],[Quantity]])</f>
        <v>408</v>
      </c>
      <c r="H932" t="s">
        <v>8</v>
      </c>
      <c r="I932" t="s">
        <v>48</v>
      </c>
      <c r="J932" t="s">
        <v>10</v>
      </c>
      <c r="K932" t="s">
        <v>626</v>
      </c>
      <c r="L932" t="s">
        <v>585</v>
      </c>
    </row>
    <row r="933" spans="1:12" x14ac:dyDescent="0.3">
      <c r="A933" t="s">
        <v>200</v>
      </c>
      <c r="B933">
        <v>34</v>
      </c>
      <c r="C933">
        <v>-6</v>
      </c>
      <c r="D933">
        <v>136</v>
      </c>
      <c r="E933">
        <f>SUM(Details[[#This Row],[Actual_Cost]],Details[[#This Row],[Profit]])</f>
        <v>130</v>
      </c>
      <c r="F933">
        <v>4</v>
      </c>
      <c r="G933">
        <f>PRODUCT(Details[[#This Row],[Selling_Cost]],Details[[#This Row],[Quantity]])</f>
        <v>520</v>
      </c>
      <c r="H933" t="s">
        <v>8</v>
      </c>
      <c r="I933" t="s">
        <v>69</v>
      </c>
      <c r="J933" t="s">
        <v>10</v>
      </c>
      <c r="K933" t="s">
        <v>661</v>
      </c>
      <c r="L933" t="s">
        <v>624</v>
      </c>
    </row>
    <row r="934" spans="1:12" x14ac:dyDescent="0.3">
      <c r="A934" t="s">
        <v>432</v>
      </c>
      <c r="B934">
        <v>42</v>
      </c>
      <c r="C934">
        <v>-6</v>
      </c>
      <c r="D934">
        <v>168</v>
      </c>
      <c r="E934">
        <f>SUM(Details[[#This Row],[Actual_Cost]],Details[[#This Row],[Profit]])</f>
        <v>162</v>
      </c>
      <c r="F934">
        <v>4</v>
      </c>
      <c r="G934">
        <f>PRODUCT(Details[[#This Row],[Selling_Cost]],Details[[#This Row],[Quantity]])</f>
        <v>648</v>
      </c>
      <c r="H934" t="s">
        <v>8</v>
      </c>
      <c r="I934" t="s">
        <v>9</v>
      </c>
      <c r="J934" t="s">
        <v>18</v>
      </c>
      <c r="K934" t="s">
        <v>592</v>
      </c>
      <c r="L934" t="s">
        <v>624</v>
      </c>
    </row>
    <row r="935" spans="1:12" x14ac:dyDescent="0.3">
      <c r="A935" t="s">
        <v>433</v>
      </c>
      <c r="B935">
        <v>249</v>
      </c>
      <c r="C935">
        <v>-5</v>
      </c>
      <c r="D935">
        <v>996</v>
      </c>
      <c r="E935">
        <f>SUM(Details[[#This Row],[Actual_Cost]],Details[[#This Row],[Profit]])</f>
        <v>991</v>
      </c>
      <c r="F935">
        <v>4</v>
      </c>
      <c r="G935">
        <f>PRODUCT(Details[[#This Row],[Selling_Cost]],Details[[#This Row],[Quantity]])</f>
        <v>3964</v>
      </c>
      <c r="H935" t="s">
        <v>8</v>
      </c>
      <c r="I935" t="s">
        <v>9</v>
      </c>
      <c r="J935" t="s">
        <v>10</v>
      </c>
      <c r="K935" t="s">
        <v>539</v>
      </c>
      <c r="L935" t="s">
        <v>565</v>
      </c>
    </row>
    <row r="936" spans="1:12" x14ac:dyDescent="0.3">
      <c r="A936" t="s">
        <v>329</v>
      </c>
      <c r="B936">
        <v>31</v>
      </c>
      <c r="C936">
        <v>-3</v>
      </c>
      <c r="D936">
        <v>124</v>
      </c>
      <c r="E936">
        <f>SUM(Details[[#This Row],[Actual_Cost]],Details[[#This Row],[Profit]])</f>
        <v>121</v>
      </c>
      <c r="F936">
        <v>4</v>
      </c>
      <c r="G936">
        <f>PRODUCT(Details[[#This Row],[Selling_Cost]],Details[[#This Row],[Quantity]])</f>
        <v>484</v>
      </c>
      <c r="H936" t="s">
        <v>8</v>
      </c>
      <c r="I936" t="s">
        <v>9</v>
      </c>
      <c r="J936" t="s">
        <v>10</v>
      </c>
      <c r="K936" t="s">
        <v>548</v>
      </c>
      <c r="L936" t="s">
        <v>585</v>
      </c>
    </row>
    <row r="937" spans="1:12" x14ac:dyDescent="0.3">
      <c r="A937" t="s">
        <v>393</v>
      </c>
      <c r="B937">
        <v>245</v>
      </c>
      <c r="C937">
        <v>-3</v>
      </c>
      <c r="D937">
        <v>980</v>
      </c>
      <c r="E937">
        <f>SUM(Details[[#This Row],[Actual_Cost]],Details[[#This Row],[Profit]])</f>
        <v>977</v>
      </c>
      <c r="F937">
        <v>4</v>
      </c>
      <c r="G937">
        <f>PRODUCT(Details[[#This Row],[Selling_Cost]],Details[[#This Row],[Quantity]])</f>
        <v>3908</v>
      </c>
      <c r="H937" t="s">
        <v>13</v>
      </c>
      <c r="I937" t="s">
        <v>14</v>
      </c>
      <c r="J937" t="s">
        <v>18</v>
      </c>
      <c r="K937" t="s">
        <v>592</v>
      </c>
      <c r="L937" t="s">
        <v>585</v>
      </c>
    </row>
    <row r="938" spans="1:12" x14ac:dyDescent="0.3">
      <c r="A938" t="s">
        <v>341</v>
      </c>
      <c r="B938">
        <v>11</v>
      </c>
      <c r="C938">
        <v>-2</v>
      </c>
      <c r="D938">
        <v>44</v>
      </c>
      <c r="E938">
        <f>SUM(Details[[#This Row],[Actual_Cost]],Details[[#This Row],[Profit]])</f>
        <v>42</v>
      </c>
      <c r="F938">
        <v>4</v>
      </c>
      <c r="G938">
        <f>PRODUCT(Details[[#This Row],[Selling_Cost]],Details[[#This Row],[Quantity]])</f>
        <v>168</v>
      </c>
      <c r="H938" t="s">
        <v>8</v>
      </c>
      <c r="I938" t="s">
        <v>48</v>
      </c>
      <c r="J938" t="s">
        <v>10</v>
      </c>
      <c r="K938" t="s">
        <v>605</v>
      </c>
      <c r="L938" t="s">
        <v>624</v>
      </c>
    </row>
    <row r="939" spans="1:12" x14ac:dyDescent="0.3">
      <c r="A939" t="s">
        <v>72</v>
      </c>
      <c r="B939">
        <v>45</v>
      </c>
      <c r="C939">
        <v>-2</v>
      </c>
      <c r="D939">
        <v>180</v>
      </c>
      <c r="E939">
        <f>SUM(Details[[#This Row],[Actual_Cost]],Details[[#This Row],[Profit]])</f>
        <v>178</v>
      </c>
      <c r="F939">
        <v>4</v>
      </c>
      <c r="G939">
        <f>PRODUCT(Details[[#This Row],[Selling_Cost]],Details[[#This Row],[Quantity]])</f>
        <v>712</v>
      </c>
      <c r="H939" t="s">
        <v>8</v>
      </c>
      <c r="I939" t="s">
        <v>61</v>
      </c>
      <c r="J939" t="s">
        <v>10</v>
      </c>
      <c r="K939" t="s">
        <v>569</v>
      </c>
      <c r="L939" t="s">
        <v>624</v>
      </c>
    </row>
    <row r="940" spans="1:12" x14ac:dyDescent="0.3">
      <c r="A940" t="s">
        <v>246</v>
      </c>
      <c r="B940">
        <v>45</v>
      </c>
      <c r="C940">
        <v>-2</v>
      </c>
      <c r="D940">
        <v>180</v>
      </c>
      <c r="E940">
        <f>SUM(Details[[#This Row],[Actual_Cost]],Details[[#This Row],[Profit]])</f>
        <v>178</v>
      </c>
      <c r="F940">
        <v>4</v>
      </c>
      <c r="G940">
        <f>PRODUCT(Details[[#This Row],[Selling_Cost]],Details[[#This Row],[Quantity]])</f>
        <v>712</v>
      </c>
      <c r="H940" t="s">
        <v>8</v>
      </c>
      <c r="I940" t="s">
        <v>61</v>
      </c>
      <c r="J940" t="s">
        <v>10</v>
      </c>
      <c r="K940" t="s">
        <v>552</v>
      </c>
      <c r="L940" t="s">
        <v>585</v>
      </c>
    </row>
    <row r="941" spans="1:12" x14ac:dyDescent="0.3">
      <c r="A941" t="s">
        <v>108</v>
      </c>
      <c r="B941">
        <v>14</v>
      </c>
      <c r="C941">
        <v>-1</v>
      </c>
      <c r="D941">
        <v>56</v>
      </c>
      <c r="E941">
        <f>SUM(Details[[#This Row],[Actual_Cost]],Details[[#This Row],[Profit]])</f>
        <v>55</v>
      </c>
      <c r="F941">
        <v>4</v>
      </c>
      <c r="G941">
        <f>PRODUCT(Details[[#This Row],[Selling_Cost]],Details[[#This Row],[Quantity]])</f>
        <v>220</v>
      </c>
      <c r="H941" t="s">
        <v>8</v>
      </c>
      <c r="I941" t="s">
        <v>44</v>
      </c>
      <c r="J941" t="s">
        <v>10</v>
      </c>
      <c r="K941" t="s">
        <v>548</v>
      </c>
      <c r="L941" t="s">
        <v>585</v>
      </c>
    </row>
    <row r="942" spans="1:12" x14ac:dyDescent="0.3">
      <c r="A942" t="s">
        <v>363</v>
      </c>
      <c r="B942">
        <v>24</v>
      </c>
      <c r="C942">
        <v>-1</v>
      </c>
      <c r="D942">
        <v>96</v>
      </c>
      <c r="E942">
        <f>SUM(Details[[#This Row],[Actual_Cost]],Details[[#This Row],[Profit]])</f>
        <v>95</v>
      </c>
      <c r="F942">
        <v>4</v>
      </c>
      <c r="G942">
        <f>PRODUCT(Details[[#This Row],[Selling_Cost]],Details[[#This Row],[Quantity]])</f>
        <v>380</v>
      </c>
      <c r="H942" t="s">
        <v>8</v>
      </c>
      <c r="I942" t="s">
        <v>58</v>
      </c>
      <c r="J942" t="s">
        <v>27</v>
      </c>
      <c r="K942" t="s">
        <v>552</v>
      </c>
      <c r="L942" t="s">
        <v>583</v>
      </c>
    </row>
    <row r="943" spans="1:12" x14ac:dyDescent="0.3">
      <c r="A943" t="s">
        <v>177</v>
      </c>
      <c r="B943">
        <v>25</v>
      </c>
      <c r="C943">
        <v>-1</v>
      </c>
      <c r="D943">
        <v>100</v>
      </c>
      <c r="E943">
        <f>SUM(Details[[#This Row],[Actual_Cost]],Details[[#This Row],[Profit]])</f>
        <v>99</v>
      </c>
      <c r="F943">
        <v>4</v>
      </c>
      <c r="G943">
        <f>PRODUCT(Details[[#This Row],[Selling_Cost]],Details[[#This Row],[Quantity]])</f>
        <v>396</v>
      </c>
      <c r="H943" t="s">
        <v>8</v>
      </c>
      <c r="I943" t="s">
        <v>44</v>
      </c>
      <c r="J943" t="s">
        <v>10</v>
      </c>
      <c r="K943" t="s">
        <v>569</v>
      </c>
      <c r="L943" t="s">
        <v>583</v>
      </c>
    </row>
    <row r="944" spans="1:12" x14ac:dyDescent="0.3">
      <c r="A944" t="s">
        <v>379</v>
      </c>
      <c r="B944">
        <v>14</v>
      </c>
      <c r="C944">
        <v>0</v>
      </c>
      <c r="D944">
        <v>56</v>
      </c>
      <c r="E944">
        <f>SUM(Details[[#This Row],[Actual_Cost]],Details[[#This Row],[Profit]])</f>
        <v>56</v>
      </c>
      <c r="F944">
        <v>4</v>
      </c>
      <c r="G944">
        <f>PRODUCT(Details[[#This Row],[Selling_Cost]],Details[[#This Row],[Quantity]])</f>
        <v>224</v>
      </c>
      <c r="H944" t="s">
        <v>8</v>
      </c>
      <c r="I944" t="s">
        <v>48</v>
      </c>
      <c r="J944" t="s">
        <v>18</v>
      </c>
      <c r="K944" t="s">
        <v>552</v>
      </c>
      <c r="L944" t="s">
        <v>546</v>
      </c>
    </row>
    <row r="945" spans="1:12" x14ac:dyDescent="0.3">
      <c r="A945" t="s">
        <v>45</v>
      </c>
      <c r="B945">
        <v>25</v>
      </c>
      <c r="C945">
        <v>0</v>
      </c>
      <c r="D945">
        <v>100</v>
      </c>
      <c r="E945">
        <f>SUM(Details[[#This Row],[Actual_Cost]],Details[[#This Row],[Profit]])</f>
        <v>100</v>
      </c>
      <c r="F945">
        <v>4</v>
      </c>
      <c r="G945">
        <f>PRODUCT(Details[[#This Row],[Selling_Cost]],Details[[#This Row],[Quantity]])</f>
        <v>400</v>
      </c>
      <c r="H945" t="s">
        <v>8</v>
      </c>
      <c r="I945" t="s">
        <v>58</v>
      </c>
      <c r="J945" t="s">
        <v>18</v>
      </c>
      <c r="K945" t="s">
        <v>548</v>
      </c>
      <c r="L945" t="s">
        <v>614</v>
      </c>
    </row>
    <row r="946" spans="1:12" x14ac:dyDescent="0.3">
      <c r="A946" t="s">
        <v>265</v>
      </c>
      <c r="B946">
        <v>36</v>
      </c>
      <c r="C946">
        <v>0</v>
      </c>
      <c r="D946">
        <v>144</v>
      </c>
      <c r="E946">
        <f>SUM(Details[[#This Row],[Actual_Cost]],Details[[#This Row],[Profit]])</f>
        <v>144</v>
      </c>
      <c r="F946">
        <v>4</v>
      </c>
      <c r="G946">
        <f>PRODUCT(Details[[#This Row],[Selling_Cost]],Details[[#This Row],[Quantity]])</f>
        <v>576</v>
      </c>
      <c r="H946" t="s">
        <v>8</v>
      </c>
      <c r="I946" t="s">
        <v>44</v>
      </c>
      <c r="J946" t="s">
        <v>10</v>
      </c>
      <c r="K946" t="s">
        <v>552</v>
      </c>
      <c r="L946" t="s">
        <v>563</v>
      </c>
    </row>
    <row r="947" spans="1:12" x14ac:dyDescent="0.3">
      <c r="A947" t="s">
        <v>399</v>
      </c>
      <c r="B947">
        <v>46</v>
      </c>
      <c r="C947">
        <v>0</v>
      </c>
      <c r="D947">
        <v>184</v>
      </c>
      <c r="E947">
        <f>SUM(Details[[#This Row],[Actual_Cost]],Details[[#This Row],[Profit]])</f>
        <v>184</v>
      </c>
      <c r="F947">
        <v>4</v>
      </c>
      <c r="G947">
        <f>PRODUCT(Details[[#This Row],[Selling_Cost]],Details[[#This Row],[Quantity]])</f>
        <v>736</v>
      </c>
      <c r="H947" t="s">
        <v>8</v>
      </c>
      <c r="I947" t="s">
        <v>69</v>
      </c>
      <c r="J947" t="s">
        <v>10</v>
      </c>
      <c r="K947" t="s">
        <v>548</v>
      </c>
      <c r="L947" t="s">
        <v>567</v>
      </c>
    </row>
    <row r="948" spans="1:12" x14ac:dyDescent="0.3">
      <c r="A948" t="s">
        <v>234</v>
      </c>
      <c r="B948">
        <v>46</v>
      </c>
      <c r="C948">
        <v>0</v>
      </c>
      <c r="D948">
        <v>184</v>
      </c>
      <c r="E948">
        <f>SUM(Details[[#This Row],[Actual_Cost]],Details[[#This Row],[Profit]])</f>
        <v>184</v>
      </c>
      <c r="F948">
        <v>4</v>
      </c>
      <c r="G948">
        <f>PRODUCT(Details[[#This Row],[Selling_Cost]],Details[[#This Row],[Quantity]])</f>
        <v>736</v>
      </c>
      <c r="H948" t="s">
        <v>8</v>
      </c>
      <c r="I948" t="s">
        <v>69</v>
      </c>
      <c r="J948" t="s">
        <v>10</v>
      </c>
      <c r="K948" t="s">
        <v>661</v>
      </c>
      <c r="L948" t="s">
        <v>546</v>
      </c>
    </row>
    <row r="949" spans="1:12" x14ac:dyDescent="0.3">
      <c r="A949" t="s">
        <v>56</v>
      </c>
      <c r="B949">
        <v>56</v>
      </c>
      <c r="C949">
        <v>0</v>
      </c>
      <c r="D949">
        <v>224</v>
      </c>
      <c r="E949">
        <f>SUM(Details[[#This Row],[Actual_Cost]],Details[[#This Row],[Profit]])</f>
        <v>224</v>
      </c>
      <c r="F949">
        <v>4</v>
      </c>
      <c r="G949">
        <f>PRODUCT(Details[[#This Row],[Selling_Cost]],Details[[#This Row],[Quantity]])</f>
        <v>896</v>
      </c>
      <c r="H949" t="s">
        <v>8</v>
      </c>
      <c r="I949" t="s">
        <v>48</v>
      </c>
      <c r="J949" t="s">
        <v>10</v>
      </c>
      <c r="K949" t="s">
        <v>596</v>
      </c>
      <c r="L949" t="s">
        <v>554</v>
      </c>
    </row>
    <row r="950" spans="1:12" x14ac:dyDescent="0.3">
      <c r="A950" t="s">
        <v>434</v>
      </c>
      <c r="B950">
        <v>58</v>
      </c>
      <c r="C950">
        <v>0</v>
      </c>
      <c r="D950">
        <v>232</v>
      </c>
      <c r="E950">
        <f>SUM(Details[[#This Row],[Actual_Cost]],Details[[#This Row],[Profit]])</f>
        <v>232</v>
      </c>
      <c r="F950">
        <v>4</v>
      </c>
      <c r="G950">
        <f>PRODUCT(Details[[#This Row],[Selling_Cost]],Details[[#This Row],[Quantity]])</f>
        <v>928</v>
      </c>
      <c r="H950" t="s">
        <v>8</v>
      </c>
      <c r="I950" t="s">
        <v>9</v>
      </c>
      <c r="J950" t="s">
        <v>18</v>
      </c>
      <c r="K950" t="s">
        <v>626</v>
      </c>
      <c r="L950" t="s">
        <v>614</v>
      </c>
    </row>
    <row r="951" spans="1:12" x14ac:dyDescent="0.3">
      <c r="A951" t="s">
        <v>19</v>
      </c>
      <c r="B951">
        <v>86</v>
      </c>
      <c r="C951">
        <v>0</v>
      </c>
      <c r="D951">
        <v>344</v>
      </c>
      <c r="E951">
        <f>SUM(Details[[#This Row],[Actual_Cost]],Details[[#This Row],[Profit]])</f>
        <v>344</v>
      </c>
      <c r="F951">
        <v>4</v>
      </c>
      <c r="G951">
        <f>PRODUCT(Details[[#This Row],[Selling_Cost]],Details[[#This Row],[Quantity]])</f>
        <v>1376</v>
      </c>
      <c r="H951" t="s">
        <v>8</v>
      </c>
      <c r="I951" t="s">
        <v>46</v>
      </c>
      <c r="J951" t="s">
        <v>42</v>
      </c>
      <c r="K951" t="s">
        <v>552</v>
      </c>
      <c r="L951" t="s">
        <v>624</v>
      </c>
    </row>
    <row r="952" spans="1:12" x14ac:dyDescent="0.3">
      <c r="A952" t="s">
        <v>408</v>
      </c>
      <c r="B952">
        <v>199</v>
      </c>
      <c r="C952">
        <v>0</v>
      </c>
      <c r="D952">
        <v>796</v>
      </c>
      <c r="E952">
        <f>SUM(Details[[#This Row],[Actual_Cost]],Details[[#This Row],[Profit]])</f>
        <v>796</v>
      </c>
      <c r="F952">
        <v>4</v>
      </c>
      <c r="G952">
        <f>PRODUCT(Details[[#This Row],[Selling_Cost]],Details[[#This Row],[Quantity]])</f>
        <v>3184</v>
      </c>
      <c r="H952" t="s">
        <v>8</v>
      </c>
      <c r="I952" t="s">
        <v>29</v>
      </c>
      <c r="J952" t="s">
        <v>125</v>
      </c>
      <c r="K952" t="s">
        <v>548</v>
      </c>
      <c r="L952" t="s">
        <v>546</v>
      </c>
    </row>
    <row r="953" spans="1:12" x14ac:dyDescent="0.3">
      <c r="A953" t="s">
        <v>213</v>
      </c>
      <c r="B953">
        <v>24</v>
      </c>
      <c r="C953">
        <v>1</v>
      </c>
      <c r="D953">
        <v>96</v>
      </c>
      <c r="E953">
        <f>SUM(Details[[#This Row],[Actual_Cost]],Details[[#This Row],[Profit]])</f>
        <v>97</v>
      </c>
      <c r="F953">
        <v>4</v>
      </c>
      <c r="G953">
        <f>PRODUCT(Details[[#This Row],[Selling_Cost]],Details[[#This Row],[Quantity]])</f>
        <v>388</v>
      </c>
      <c r="H953" t="s">
        <v>8</v>
      </c>
      <c r="I953" t="s">
        <v>48</v>
      </c>
      <c r="J953" t="s">
        <v>10</v>
      </c>
      <c r="K953" t="s">
        <v>661</v>
      </c>
      <c r="L953" t="s">
        <v>567</v>
      </c>
    </row>
    <row r="954" spans="1:12" x14ac:dyDescent="0.3">
      <c r="A954" t="s">
        <v>284</v>
      </c>
      <c r="B954">
        <v>53</v>
      </c>
      <c r="C954">
        <v>1</v>
      </c>
      <c r="D954">
        <v>212</v>
      </c>
      <c r="E954">
        <f>SUM(Details[[#This Row],[Actual_Cost]],Details[[#This Row],[Profit]])</f>
        <v>213</v>
      </c>
      <c r="F954">
        <v>4</v>
      </c>
      <c r="G954">
        <f>PRODUCT(Details[[#This Row],[Selling_Cost]],Details[[#This Row],[Quantity]])</f>
        <v>852</v>
      </c>
      <c r="H954" t="s">
        <v>8</v>
      </c>
      <c r="I954" t="s">
        <v>29</v>
      </c>
      <c r="J954" t="s">
        <v>10</v>
      </c>
      <c r="K954" t="s">
        <v>632</v>
      </c>
      <c r="L954" t="s">
        <v>565</v>
      </c>
    </row>
    <row r="955" spans="1:12" x14ac:dyDescent="0.3">
      <c r="A955" t="s">
        <v>279</v>
      </c>
      <c r="B955">
        <v>63</v>
      </c>
      <c r="C955">
        <v>1</v>
      </c>
      <c r="D955">
        <v>252</v>
      </c>
      <c r="E955">
        <f>SUM(Details[[#This Row],[Actual_Cost]],Details[[#This Row],[Profit]])</f>
        <v>253</v>
      </c>
      <c r="F955">
        <v>4</v>
      </c>
      <c r="G955">
        <f>PRODUCT(Details[[#This Row],[Selling_Cost]],Details[[#This Row],[Quantity]])</f>
        <v>1012</v>
      </c>
      <c r="H955" t="s">
        <v>8</v>
      </c>
      <c r="I955" t="s">
        <v>46</v>
      </c>
      <c r="J955" t="s">
        <v>10</v>
      </c>
      <c r="K955" t="s">
        <v>607</v>
      </c>
      <c r="L955" t="s">
        <v>567</v>
      </c>
    </row>
    <row r="956" spans="1:12" x14ac:dyDescent="0.3">
      <c r="A956" t="s">
        <v>435</v>
      </c>
      <c r="B956">
        <v>24</v>
      </c>
      <c r="C956">
        <v>2</v>
      </c>
      <c r="D956">
        <v>96</v>
      </c>
      <c r="E956">
        <f>SUM(Details[[#This Row],[Actual_Cost]],Details[[#This Row],[Profit]])</f>
        <v>98</v>
      </c>
      <c r="F956">
        <v>4</v>
      </c>
      <c r="G956">
        <f>PRODUCT(Details[[#This Row],[Selling_Cost]],Details[[#This Row],[Quantity]])</f>
        <v>392</v>
      </c>
      <c r="H956" t="s">
        <v>8</v>
      </c>
      <c r="I956" t="s">
        <v>48</v>
      </c>
      <c r="J956" t="s">
        <v>10</v>
      </c>
      <c r="K956" t="s">
        <v>548</v>
      </c>
      <c r="L956" t="s">
        <v>567</v>
      </c>
    </row>
    <row r="957" spans="1:12" x14ac:dyDescent="0.3">
      <c r="A957" t="s">
        <v>436</v>
      </c>
      <c r="B957">
        <v>53</v>
      </c>
      <c r="C957">
        <v>2</v>
      </c>
      <c r="D957">
        <v>212</v>
      </c>
      <c r="E957">
        <f>SUM(Details[[#This Row],[Actual_Cost]],Details[[#This Row],[Profit]])</f>
        <v>214</v>
      </c>
      <c r="F957">
        <v>4</v>
      </c>
      <c r="G957">
        <f>PRODUCT(Details[[#This Row],[Selling_Cost]],Details[[#This Row],[Quantity]])</f>
        <v>856</v>
      </c>
      <c r="H957" t="s">
        <v>8</v>
      </c>
      <c r="I957" t="s">
        <v>48</v>
      </c>
      <c r="J957" t="s">
        <v>10</v>
      </c>
      <c r="K957" t="s">
        <v>552</v>
      </c>
      <c r="L957" t="s">
        <v>541</v>
      </c>
    </row>
    <row r="958" spans="1:12" x14ac:dyDescent="0.3">
      <c r="A958" t="s">
        <v>436</v>
      </c>
      <c r="B958">
        <v>67</v>
      </c>
      <c r="C958">
        <v>2</v>
      </c>
      <c r="D958">
        <v>268</v>
      </c>
      <c r="E958">
        <f>SUM(Details[[#This Row],[Actual_Cost]],Details[[#This Row],[Profit]])</f>
        <v>270</v>
      </c>
      <c r="F958">
        <v>4</v>
      </c>
      <c r="G958">
        <f>PRODUCT(Details[[#This Row],[Selling_Cost]],Details[[#This Row],[Quantity]])</f>
        <v>1080</v>
      </c>
      <c r="H958" t="s">
        <v>8</v>
      </c>
      <c r="I958" t="s">
        <v>46</v>
      </c>
      <c r="J958" t="s">
        <v>18</v>
      </c>
      <c r="K958" t="s">
        <v>552</v>
      </c>
      <c r="L958" t="s">
        <v>541</v>
      </c>
    </row>
    <row r="959" spans="1:12" x14ac:dyDescent="0.3">
      <c r="A959" t="s">
        <v>218</v>
      </c>
      <c r="B959">
        <v>61</v>
      </c>
      <c r="C959">
        <v>3</v>
      </c>
      <c r="D959">
        <v>244</v>
      </c>
      <c r="E959">
        <f>SUM(Details[[#This Row],[Actual_Cost]],Details[[#This Row],[Profit]])</f>
        <v>247</v>
      </c>
      <c r="F959">
        <v>4</v>
      </c>
      <c r="G959">
        <f>PRODUCT(Details[[#This Row],[Selling_Cost]],Details[[#This Row],[Quantity]])</f>
        <v>988</v>
      </c>
      <c r="H959" t="s">
        <v>8</v>
      </c>
      <c r="I959" t="s">
        <v>48</v>
      </c>
      <c r="J959" t="s">
        <v>10</v>
      </c>
      <c r="K959" t="s">
        <v>548</v>
      </c>
      <c r="L959" t="s">
        <v>541</v>
      </c>
    </row>
    <row r="960" spans="1:12" x14ac:dyDescent="0.3">
      <c r="A960" t="s">
        <v>349</v>
      </c>
      <c r="B960">
        <v>202</v>
      </c>
      <c r="C960">
        <v>4</v>
      </c>
      <c r="D960">
        <v>808</v>
      </c>
      <c r="E960">
        <f>SUM(Details[[#This Row],[Actual_Cost]],Details[[#This Row],[Profit]])</f>
        <v>812</v>
      </c>
      <c r="F960">
        <v>4</v>
      </c>
      <c r="G960">
        <f>PRODUCT(Details[[#This Row],[Selling_Cost]],Details[[#This Row],[Quantity]])</f>
        <v>3248</v>
      </c>
      <c r="H960" t="s">
        <v>8</v>
      </c>
      <c r="I960" t="s">
        <v>48</v>
      </c>
      <c r="J960" t="s">
        <v>10</v>
      </c>
      <c r="K960" t="s">
        <v>610</v>
      </c>
      <c r="L960" t="s">
        <v>544</v>
      </c>
    </row>
    <row r="961" spans="1:12" x14ac:dyDescent="0.3">
      <c r="A961" t="s">
        <v>70</v>
      </c>
      <c r="B961">
        <v>49</v>
      </c>
      <c r="C961">
        <v>5</v>
      </c>
      <c r="D961">
        <v>196</v>
      </c>
      <c r="E961">
        <f>SUM(Details[[#This Row],[Actual_Cost]],Details[[#This Row],[Profit]])</f>
        <v>201</v>
      </c>
      <c r="F961">
        <v>4</v>
      </c>
      <c r="G961">
        <f>PRODUCT(Details[[#This Row],[Selling_Cost]],Details[[#This Row],[Quantity]])</f>
        <v>804</v>
      </c>
      <c r="H961" t="s">
        <v>8</v>
      </c>
      <c r="I961" t="s">
        <v>48</v>
      </c>
      <c r="J961" t="s">
        <v>10</v>
      </c>
      <c r="K961" t="s">
        <v>548</v>
      </c>
      <c r="L961" t="s">
        <v>541</v>
      </c>
    </row>
    <row r="962" spans="1:12" x14ac:dyDescent="0.3">
      <c r="A962" t="s">
        <v>126</v>
      </c>
      <c r="B962">
        <v>28</v>
      </c>
      <c r="C962">
        <v>6</v>
      </c>
      <c r="D962">
        <v>112</v>
      </c>
      <c r="E962">
        <f>SUM(Details[[#This Row],[Actual_Cost]],Details[[#This Row],[Profit]])</f>
        <v>118</v>
      </c>
      <c r="F962">
        <v>4</v>
      </c>
      <c r="G962">
        <f>PRODUCT(Details[[#This Row],[Selling_Cost]],Details[[#This Row],[Quantity]])</f>
        <v>472</v>
      </c>
      <c r="H962" t="s">
        <v>8</v>
      </c>
      <c r="I962" t="s">
        <v>58</v>
      </c>
      <c r="J962" t="s">
        <v>10</v>
      </c>
      <c r="K962" t="s">
        <v>539</v>
      </c>
      <c r="L962" t="s">
        <v>550</v>
      </c>
    </row>
    <row r="963" spans="1:12" x14ac:dyDescent="0.3">
      <c r="A963" t="s">
        <v>67</v>
      </c>
      <c r="B963">
        <v>64</v>
      </c>
      <c r="C963">
        <v>6</v>
      </c>
      <c r="D963">
        <v>256</v>
      </c>
      <c r="E963">
        <f>SUM(Details[[#This Row],[Actual_Cost]],Details[[#This Row],[Profit]])</f>
        <v>262</v>
      </c>
      <c r="F963">
        <v>4</v>
      </c>
      <c r="G963">
        <f>PRODUCT(Details[[#This Row],[Selling_Cost]],Details[[#This Row],[Quantity]])</f>
        <v>1048</v>
      </c>
      <c r="H963" t="s">
        <v>8</v>
      </c>
      <c r="I963" t="s">
        <v>9</v>
      </c>
      <c r="J963" t="s">
        <v>10</v>
      </c>
      <c r="K963" t="s">
        <v>552</v>
      </c>
      <c r="L963" t="s">
        <v>563</v>
      </c>
    </row>
    <row r="964" spans="1:12" x14ac:dyDescent="0.3">
      <c r="A964" t="s">
        <v>105</v>
      </c>
      <c r="B964">
        <v>100</v>
      </c>
      <c r="C964">
        <v>6</v>
      </c>
      <c r="D964">
        <v>400</v>
      </c>
      <c r="E964">
        <f>SUM(Details[[#This Row],[Actual_Cost]],Details[[#This Row],[Profit]])</f>
        <v>406</v>
      </c>
      <c r="F964">
        <v>4</v>
      </c>
      <c r="G964">
        <f>PRODUCT(Details[[#This Row],[Selling_Cost]],Details[[#This Row],[Quantity]])</f>
        <v>1624</v>
      </c>
      <c r="H964" t="s">
        <v>8</v>
      </c>
      <c r="I964" t="s">
        <v>29</v>
      </c>
      <c r="J964" t="s">
        <v>10</v>
      </c>
      <c r="K964" t="s">
        <v>548</v>
      </c>
      <c r="L964" t="s">
        <v>567</v>
      </c>
    </row>
    <row r="965" spans="1:12" x14ac:dyDescent="0.3">
      <c r="A965" t="s">
        <v>383</v>
      </c>
      <c r="B965">
        <v>26</v>
      </c>
      <c r="C965">
        <v>7</v>
      </c>
      <c r="D965">
        <v>104</v>
      </c>
      <c r="E965">
        <f>SUM(Details[[#This Row],[Actual_Cost]],Details[[#This Row],[Profit]])</f>
        <v>111</v>
      </c>
      <c r="F965">
        <v>4</v>
      </c>
      <c r="G965">
        <f>PRODUCT(Details[[#This Row],[Selling_Cost]],Details[[#This Row],[Quantity]])</f>
        <v>444</v>
      </c>
      <c r="H965" t="s">
        <v>8</v>
      </c>
      <c r="I965" t="s">
        <v>48</v>
      </c>
      <c r="J965" t="s">
        <v>10</v>
      </c>
      <c r="K965" t="s">
        <v>569</v>
      </c>
      <c r="L965" t="s">
        <v>546</v>
      </c>
    </row>
    <row r="966" spans="1:12" x14ac:dyDescent="0.3">
      <c r="A966" t="s">
        <v>437</v>
      </c>
      <c r="B966">
        <v>200</v>
      </c>
      <c r="C966">
        <v>7</v>
      </c>
      <c r="D966">
        <v>800</v>
      </c>
      <c r="E966">
        <f>SUM(Details[[#This Row],[Actual_Cost]],Details[[#This Row],[Profit]])</f>
        <v>807</v>
      </c>
      <c r="F966">
        <v>4</v>
      </c>
      <c r="G966">
        <f>PRODUCT(Details[[#This Row],[Selling_Cost]],Details[[#This Row],[Quantity]])</f>
        <v>3228</v>
      </c>
      <c r="H966" t="s">
        <v>13</v>
      </c>
      <c r="I966" t="s">
        <v>34</v>
      </c>
      <c r="J966" t="s">
        <v>27</v>
      </c>
      <c r="K966" t="s">
        <v>539</v>
      </c>
      <c r="L966" t="s">
        <v>550</v>
      </c>
    </row>
    <row r="967" spans="1:12" x14ac:dyDescent="0.3">
      <c r="A967" t="s">
        <v>233</v>
      </c>
      <c r="B967">
        <v>45</v>
      </c>
      <c r="C967">
        <v>8</v>
      </c>
      <c r="D967">
        <v>180</v>
      </c>
      <c r="E967">
        <f>SUM(Details[[#This Row],[Actual_Cost]],Details[[#This Row],[Profit]])</f>
        <v>188</v>
      </c>
      <c r="F967">
        <v>4</v>
      </c>
      <c r="G967">
        <f>PRODUCT(Details[[#This Row],[Selling_Cost]],Details[[#This Row],[Quantity]])</f>
        <v>752</v>
      </c>
      <c r="H967" t="s">
        <v>8</v>
      </c>
      <c r="I967" t="s">
        <v>58</v>
      </c>
      <c r="J967" t="s">
        <v>125</v>
      </c>
      <c r="K967" t="s">
        <v>548</v>
      </c>
      <c r="L967" t="s">
        <v>546</v>
      </c>
    </row>
    <row r="968" spans="1:12" x14ac:dyDescent="0.3">
      <c r="A968" t="s">
        <v>438</v>
      </c>
      <c r="B968">
        <v>54</v>
      </c>
      <c r="C968">
        <v>8</v>
      </c>
      <c r="D968">
        <v>216</v>
      </c>
      <c r="E968">
        <f>SUM(Details[[#This Row],[Actual_Cost]],Details[[#This Row],[Profit]])</f>
        <v>224</v>
      </c>
      <c r="F968">
        <v>4</v>
      </c>
      <c r="G968">
        <f>PRODUCT(Details[[#This Row],[Selling_Cost]],Details[[#This Row],[Quantity]])</f>
        <v>896</v>
      </c>
      <c r="H968" t="s">
        <v>8</v>
      </c>
      <c r="I968" t="s">
        <v>46</v>
      </c>
      <c r="J968" t="s">
        <v>10</v>
      </c>
      <c r="K968" t="s">
        <v>596</v>
      </c>
      <c r="L968" t="s">
        <v>544</v>
      </c>
    </row>
    <row r="969" spans="1:12" x14ac:dyDescent="0.3">
      <c r="A969" t="s">
        <v>174</v>
      </c>
      <c r="B969">
        <v>54</v>
      </c>
      <c r="C969">
        <v>8</v>
      </c>
      <c r="D969">
        <v>216</v>
      </c>
      <c r="E969">
        <f>SUM(Details[[#This Row],[Actual_Cost]],Details[[#This Row],[Profit]])</f>
        <v>224</v>
      </c>
      <c r="F969">
        <v>4</v>
      </c>
      <c r="G969">
        <f>PRODUCT(Details[[#This Row],[Selling_Cost]],Details[[#This Row],[Quantity]])</f>
        <v>896</v>
      </c>
      <c r="H969" t="s">
        <v>8</v>
      </c>
      <c r="I969" t="s">
        <v>46</v>
      </c>
      <c r="J969" t="s">
        <v>42</v>
      </c>
      <c r="K969" t="s">
        <v>592</v>
      </c>
      <c r="L969" t="s">
        <v>541</v>
      </c>
    </row>
    <row r="970" spans="1:12" x14ac:dyDescent="0.3">
      <c r="A970" t="s">
        <v>407</v>
      </c>
      <c r="B970">
        <v>61</v>
      </c>
      <c r="C970">
        <v>8</v>
      </c>
      <c r="D970">
        <v>244</v>
      </c>
      <c r="E970">
        <f>SUM(Details[[#This Row],[Actual_Cost]],Details[[#This Row],[Profit]])</f>
        <v>252</v>
      </c>
      <c r="F970">
        <v>4</v>
      </c>
      <c r="G970">
        <f>PRODUCT(Details[[#This Row],[Selling_Cost]],Details[[#This Row],[Quantity]])</f>
        <v>1008</v>
      </c>
      <c r="H970" t="s">
        <v>8</v>
      </c>
      <c r="I970" t="s">
        <v>48</v>
      </c>
      <c r="J970" t="s">
        <v>42</v>
      </c>
      <c r="K970" t="s">
        <v>626</v>
      </c>
      <c r="L970" t="s">
        <v>544</v>
      </c>
    </row>
    <row r="971" spans="1:12" x14ac:dyDescent="0.3">
      <c r="A971" t="s">
        <v>439</v>
      </c>
      <c r="B971">
        <v>193</v>
      </c>
      <c r="C971">
        <v>8</v>
      </c>
      <c r="D971">
        <v>772</v>
      </c>
      <c r="E971">
        <f>SUM(Details[[#This Row],[Actual_Cost]],Details[[#This Row],[Profit]])</f>
        <v>780</v>
      </c>
      <c r="F971">
        <v>4</v>
      </c>
      <c r="G971">
        <f>PRODUCT(Details[[#This Row],[Selling_Cost]],Details[[#This Row],[Quantity]])</f>
        <v>3120</v>
      </c>
      <c r="H971" t="s">
        <v>8</v>
      </c>
      <c r="I971" t="s">
        <v>46</v>
      </c>
      <c r="J971" t="s">
        <v>18</v>
      </c>
      <c r="K971" t="s">
        <v>587</v>
      </c>
      <c r="L971" t="s">
        <v>546</v>
      </c>
    </row>
    <row r="972" spans="1:12" x14ac:dyDescent="0.3">
      <c r="A972" t="s">
        <v>440</v>
      </c>
      <c r="B972">
        <v>67</v>
      </c>
      <c r="C972">
        <v>9</v>
      </c>
      <c r="D972">
        <v>268</v>
      </c>
      <c r="E972">
        <f>SUM(Details[[#This Row],[Actual_Cost]],Details[[#This Row],[Profit]])</f>
        <v>277</v>
      </c>
      <c r="F972">
        <v>4</v>
      </c>
      <c r="G972">
        <f>PRODUCT(Details[[#This Row],[Selling_Cost]],Details[[#This Row],[Quantity]])</f>
        <v>1108</v>
      </c>
      <c r="H972" t="s">
        <v>8</v>
      </c>
      <c r="I972" t="s">
        <v>69</v>
      </c>
      <c r="J972" t="s">
        <v>42</v>
      </c>
      <c r="K972" t="s">
        <v>552</v>
      </c>
      <c r="L972" t="s">
        <v>544</v>
      </c>
    </row>
    <row r="973" spans="1:12" x14ac:dyDescent="0.3">
      <c r="A973" t="s">
        <v>313</v>
      </c>
      <c r="B973">
        <v>111</v>
      </c>
      <c r="C973">
        <v>9</v>
      </c>
      <c r="D973">
        <v>444</v>
      </c>
      <c r="E973">
        <f>SUM(Details[[#This Row],[Actual_Cost]],Details[[#This Row],[Profit]])</f>
        <v>453</v>
      </c>
      <c r="F973">
        <v>4</v>
      </c>
      <c r="G973">
        <f>PRODUCT(Details[[#This Row],[Selling_Cost]],Details[[#This Row],[Quantity]])</f>
        <v>1812</v>
      </c>
      <c r="H973" t="s">
        <v>8</v>
      </c>
      <c r="I973" t="s">
        <v>29</v>
      </c>
      <c r="J973" t="s">
        <v>10</v>
      </c>
      <c r="K973" t="s">
        <v>548</v>
      </c>
      <c r="L973" t="s">
        <v>546</v>
      </c>
    </row>
    <row r="974" spans="1:12" x14ac:dyDescent="0.3">
      <c r="A974" t="s">
        <v>299</v>
      </c>
      <c r="B974">
        <v>26</v>
      </c>
      <c r="C974">
        <v>10</v>
      </c>
      <c r="D974">
        <v>104</v>
      </c>
      <c r="E974">
        <f>SUM(Details[[#This Row],[Actual_Cost]],Details[[#This Row],[Profit]])</f>
        <v>114</v>
      </c>
      <c r="F974">
        <v>4</v>
      </c>
      <c r="G974">
        <f>PRODUCT(Details[[#This Row],[Selling_Cost]],Details[[#This Row],[Quantity]])</f>
        <v>456</v>
      </c>
      <c r="H974" t="s">
        <v>8</v>
      </c>
      <c r="I974" t="s">
        <v>48</v>
      </c>
      <c r="J974" t="s">
        <v>18</v>
      </c>
      <c r="K974" t="s">
        <v>587</v>
      </c>
      <c r="L974" t="s">
        <v>563</v>
      </c>
    </row>
    <row r="975" spans="1:12" x14ac:dyDescent="0.3">
      <c r="A975" t="s">
        <v>406</v>
      </c>
      <c r="B975">
        <v>29</v>
      </c>
      <c r="C975">
        <v>10</v>
      </c>
      <c r="D975">
        <v>116</v>
      </c>
      <c r="E975">
        <f>SUM(Details[[#This Row],[Actual_Cost]],Details[[#This Row],[Profit]])</f>
        <v>126</v>
      </c>
      <c r="F975">
        <v>4</v>
      </c>
      <c r="G975">
        <f>PRODUCT(Details[[#This Row],[Selling_Cost]],Details[[#This Row],[Quantity]])</f>
        <v>504</v>
      </c>
      <c r="H975" t="s">
        <v>8</v>
      </c>
      <c r="I975" t="s">
        <v>48</v>
      </c>
      <c r="J975" t="s">
        <v>18</v>
      </c>
      <c r="K975" t="s">
        <v>561</v>
      </c>
      <c r="L975" t="s">
        <v>541</v>
      </c>
    </row>
    <row r="976" spans="1:12" x14ac:dyDescent="0.3">
      <c r="A976" t="s">
        <v>406</v>
      </c>
      <c r="B976">
        <v>59</v>
      </c>
      <c r="C976">
        <v>10</v>
      </c>
      <c r="D976">
        <v>236</v>
      </c>
      <c r="E976">
        <f>SUM(Details[[#This Row],[Actual_Cost]],Details[[#This Row],[Profit]])</f>
        <v>246</v>
      </c>
      <c r="F976">
        <v>4</v>
      </c>
      <c r="G976">
        <f>PRODUCT(Details[[#This Row],[Selling_Cost]],Details[[#This Row],[Quantity]])</f>
        <v>984</v>
      </c>
      <c r="H976" t="s">
        <v>8</v>
      </c>
      <c r="I976" t="s">
        <v>69</v>
      </c>
      <c r="J976" t="s">
        <v>10</v>
      </c>
      <c r="K976" t="s">
        <v>561</v>
      </c>
      <c r="L976" t="s">
        <v>541</v>
      </c>
    </row>
    <row r="977" spans="1:12" x14ac:dyDescent="0.3">
      <c r="A977" t="s">
        <v>183</v>
      </c>
      <c r="B977">
        <v>141</v>
      </c>
      <c r="C977">
        <v>10</v>
      </c>
      <c r="D977">
        <v>564</v>
      </c>
      <c r="E977">
        <f>SUM(Details[[#This Row],[Actual_Cost]],Details[[#This Row],[Profit]])</f>
        <v>574</v>
      </c>
      <c r="F977">
        <v>4</v>
      </c>
      <c r="G977">
        <f>PRODUCT(Details[[#This Row],[Selling_Cost]],Details[[#This Row],[Quantity]])</f>
        <v>2296</v>
      </c>
      <c r="H977" t="s">
        <v>8</v>
      </c>
      <c r="I977" t="s">
        <v>61</v>
      </c>
      <c r="J977" t="s">
        <v>18</v>
      </c>
      <c r="K977" t="s">
        <v>607</v>
      </c>
      <c r="L977" t="s">
        <v>554</v>
      </c>
    </row>
    <row r="978" spans="1:12" x14ac:dyDescent="0.3">
      <c r="A978" t="s">
        <v>78</v>
      </c>
      <c r="B978">
        <v>29</v>
      </c>
      <c r="C978">
        <v>11</v>
      </c>
      <c r="D978">
        <v>116</v>
      </c>
      <c r="E978">
        <f>SUM(Details[[#This Row],[Actual_Cost]],Details[[#This Row],[Profit]])</f>
        <v>127</v>
      </c>
      <c r="F978">
        <v>4</v>
      </c>
      <c r="G978">
        <f>PRODUCT(Details[[#This Row],[Selling_Cost]],Details[[#This Row],[Quantity]])</f>
        <v>508</v>
      </c>
      <c r="H978" t="s">
        <v>8</v>
      </c>
      <c r="I978" t="s">
        <v>58</v>
      </c>
      <c r="J978" t="s">
        <v>10</v>
      </c>
      <c r="K978" t="s">
        <v>548</v>
      </c>
      <c r="L978" t="s">
        <v>567</v>
      </c>
    </row>
    <row r="979" spans="1:12" x14ac:dyDescent="0.3">
      <c r="A979" t="s">
        <v>441</v>
      </c>
      <c r="B979">
        <v>44</v>
      </c>
      <c r="C979">
        <v>11</v>
      </c>
      <c r="D979">
        <v>176</v>
      </c>
      <c r="E979">
        <f>SUM(Details[[#This Row],[Actual_Cost]],Details[[#This Row],[Profit]])</f>
        <v>187</v>
      </c>
      <c r="F979">
        <v>4</v>
      </c>
      <c r="G979">
        <f>PRODUCT(Details[[#This Row],[Selling_Cost]],Details[[#This Row],[Quantity]])</f>
        <v>748</v>
      </c>
      <c r="H979" t="s">
        <v>8</v>
      </c>
      <c r="I979" t="s">
        <v>29</v>
      </c>
      <c r="J979" t="s">
        <v>10</v>
      </c>
      <c r="K979" t="s">
        <v>552</v>
      </c>
      <c r="L979" t="s">
        <v>546</v>
      </c>
    </row>
    <row r="980" spans="1:12" x14ac:dyDescent="0.3">
      <c r="A980" t="s">
        <v>244</v>
      </c>
      <c r="B980">
        <v>95</v>
      </c>
      <c r="C980">
        <v>11</v>
      </c>
      <c r="D980">
        <v>380</v>
      </c>
      <c r="E980">
        <f>SUM(Details[[#This Row],[Actual_Cost]],Details[[#This Row],[Profit]])</f>
        <v>391</v>
      </c>
      <c r="F980">
        <v>4</v>
      </c>
      <c r="G980">
        <f>PRODUCT(Details[[#This Row],[Selling_Cost]],Details[[#This Row],[Quantity]])</f>
        <v>1564</v>
      </c>
      <c r="H980" t="s">
        <v>16</v>
      </c>
      <c r="I980" t="s">
        <v>32</v>
      </c>
      <c r="J980" t="s">
        <v>10</v>
      </c>
      <c r="K980" t="s">
        <v>569</v>
      </c>
      <c r="L980" t="s">
        <v>567</v>
      </c>
    </row>
    <row r="981" spans="1:12" x14ac:dyDescent="0.3">
      <c r="A981" t="s">
        <v>117</v>
      </c>
      <c r="B981">
        <v>114</v>
      </c>
      <c r="C981">
        <v>11</v>
      </c>
      <c r="D981">
        <v>456</v>
      </c>
      <c r="E981">
        <f>SUM(Details[[#This Row],[Actual_Cost]],Details[[#This Row],[Profit]])</f>
        <v>467</v>
      </c>
      <c r="F981">
        <v>4</v>
      </c>
      <c r="G981">
        <f>PRODUCT(Details[[#This Row],[Selling_Cost]],Details[[#This Row],[Quantity]])</f>
        <v>1868</v>
      </c>
      <c r="H981" t="s">
        <v>8</v>
      </c>
      <c r="I981" t="s">
        <v>46</v>
      </c>
      <c r="J981" t="s">
        <v>42</v>
      </c>
      <c r="K981" t="s">
        <v>569</v>
      </c>
      <c r="L981" t="s">
        <v>550</v>
      </c>
    </row>
    <row r="982" spans="1:12" x14ac:dyDescent="0.3">
      <c r="A982" t="s">
        <v>371</v>
      </c>
      <c r="B982">
        <v>122</v>
      </c>
      <c r="C982">
        <v>11</v>
      </c>
      <c r="D982">
        <v>488</v>
      </c>
      <c r="E982">
        <f>SUM(Details[[#This Row],[Actual_Cost]],Details[[#This Row],[Profit]])</f>
        <v>499</v>
      </c>
      <c r="F982">
        <v>4</v>
      </c>
      <c r="G982">
        <f>PRODUCT(Details[[#This Row],[Selling_Cost]],Details[[#This Row],[Quantity]])</f>
        <v>1996</v>
      </c>
      <c r="H982" t="s">
        <v>8</v>
      </c>
      <c r="I982" t="s">
        <v>48</v>
      </c>
      <c r="J982" t="s">
        <v>10</v>
      </c>
      <c r="K982" t="s">
        <v>552</v>
      </c>
      <c r="L982" t="s">
        <v>541</v>
      </c>
    </row>
    <row r="983" spans="1:12" x14ac:dyDescent="0.3">
      <c r="A983" t="s">
        <v>124</v>
      </c>
      <c r="B983">
        <v>45</v>
      </c>
      <c r="C983">
        <v>12</v>
      </c>
      <c r="D983">
        <v>180</v>
      </c>
      <c r="E983">
        <f>SUM(Details[[#This Row],[Actual_Cost]],Details[[#This Row],[Profit]])</f>
        <v>192</v>
      </c>
      <c r="F983">
        <v>4</v>
      </c>
      <c r="G983">
        <f>PRODUCT(Details[[#This Row],[Selling_Cost]],Details[[#This Row],[Quantity]])</f>
        <v>768</v>
      </c>
      <c r="H983" t="s">
        <v>8</v>
      </c>
      <c r="I983" t="s">
        <v>48</v>
      </c>
      <c r="J983" t="s">
        <v>10</v>
      </c>
      <c r="K983" t="s">
        <v>561</v>
      </c>
      <c r="L983" t="s">
        <v>567</v>
      </c>
    </row>
    <row r="984" spans="1:12" x14ac:dyDescent="0.3">
      <c r="A984" t="s">
        <v>132</v>
      </c>
      <c r="B984">
        <v>54</v>
      </c>
      <c r="C984">
        <v>12</v>
      </c>
      <c r="D984">
        <v>216</v>
      </c>
      <c r="E984">
        <f>SUM(Details[[#This Row],[Actual_Cost]],Details[[#This Row],[Profit]])</f>
        <v>228</v>
      </c>
      <c r="F984">
        <v>4</v>
      </c>
      <c r="G984">
        <f>PRODUCT(Details[[#This Row],[Selling_Cost]],Details[[#This Row],[Quantity]])</f>
        <v>912</v>
      </c>
      <c r="H984" t="s">
        <v>8</v>
      </c>
      <c r="I984" t="s">
        <v>61</v>
      </c>
      <c r="J984" t="s">
        <v>10</v>
      </c>
      <c r="K984" t="s">
        <v>610</v>
      </c>
      <c r="L984" t="s">
        <v>541</v>
      </c>
    </row>
    <row r="985" spans="1:12" x14ac:dyDescent="0.3">
      <c r="A985" t="s">
        <v>197</v>
      </c>
      <c r="B985">
        <v>45</v>
      </c>
      <c r="C985">
        <v>13</v>
      </c>
      <c r="D985">
        <v>180</v>
      </c>
      <c r="E985">
        <f>SUM(Details[[#This Row],[Actual_Cost]],Details[[#This Row],[Profit]])</f>
        <v>193</v>
      </c>
      <c r="F985">
        <v>4</v>
      </c>
      <c r="G985">
        <f>PRODUCT(Details[[#This Row],[Selling_Cost]],Details[[#This Row],[Quantity]])</f>
        <v>772</v>
      </c>
      <c r="H985" t="s">
        <v>8</v>
      </c>
      <c r="I985" t="s">
        <v>58</v>
      </c>
      <c r="J985" t="s">
        <v>10</v>
      </c>
      <c r="K985" t="s">
        <v>578</v>
      </c>
      <c r="L985" t="s">
        <v>565</v>
      </c>
    </row>
    <row r="986" spans="1:12" x14ac:dyDescent="0.3">
      <c r="A986" t="s">
        <v>265</v>
      </c>
      <c r="B986">
        <v>28</v>
      </c>
      <c r="C986">
        <v>14</v>
      </c>
      <c r="D986">
        <v>112</v>
      </c>
      <c r="E986">
        <f>SUM(Details[[#This Row],[Actual_Cost]],Details[[#This Row],[Profit]])</f>
        <v>126</v>
      </c>
      <c r="F986">
        <v>4</v>
      </c>
      <c r="G986">
        <f>PRODUCT(Details[[#This Row],[Selling_Cost]],Details[[#This Row],[Quantity]])</f>
        <v>504</v>
      </c>
      <c r="H986" t="s">
        <v>8</v>
      </c>
      <c r="I986" t="s">
        <v>48</v>
      </c>
      <c r="J986" t="s">
        <v>10</v>
      </c>
      <c r="K986" t="s">
        <v>552</v>
      </c>
      <c r="L986" t="s">
        <v>563</v>
      </c>
    </row>
    <row r="987" spans="1:12" x14ac:dyDescent="0.3">
      <c r="A987" t="s">
        <v>442</v>
      </c>
      <c r="B987">
        <v>282</v>
      </c>
      <c r="C987">
        <v>14</v>
      </c>
      <c r="D987">
        <v>1128</v>
      </c>
      <c r="E987">
        <f>SUM(Details[[#This Row],[Actual_Cost]],Details[[#This Row],[Profit]])</f>
        <v>1142</v>
      </c>
      <c r="F987">
        <v>4</v>
      </c>
      <c r="G987">
        <f>PRODUCT(Details[[#This Row],[Selling_Cost]],Details[[#This Row],[Quantity]])</f>
        <v>4568</v>
      </c>
      <c r="H987" t="s">
        <v>8</v>
      </c>
      <c r="I987" t="s">
        <v>41</v>
      </c>
      <c r="J987" t="s">
        <v>42</v>
      </c>
      <c r="K987" t="s">
        <v>587</v>
      </c>
      <c r="L987" t="s">
        <v>567</v>
      </c>
    </row>
    <row r="988" spans="1:12" x14ac:dyDescent="0.3">
      <c r="A988" t="s">
        <v>318</v>
      </c>
      <c r="B988">
        <v>88</v>
      </c>
      <c r="C988">
        <v>16</v>
      </c>
      <c r="D988">
        <v>352</v>
      </c>
      <c r="E988">
        <f>SUM(Details[[#This Row],[Actual_Cost]],Details[[#This Row],[Profit]])</f>
        <v>368</v>
      </c>
      <c r="F988">
        <v>4</v>
      </c>
      <c r="G988">
        <f>PRODUCT(Details[[#This Row],[Selling_Cost]],Details[[#This Row],[Quantity]])</f>
        <v>1472</v>
      </c>
      <c r="H988" t="s">
        <v>8</v>
      </c>
      <c r="I988" t="s">
        <v>29</v>
      </c>
      <c r="J988" t="s">
        <v>27</v>
      </c>
      <c r="K988" t="s">
        <v>548</v>
      </c>
      <c r="L988" t="s">
        <v>567</v>
      </c>
    </row>
    <row r="989" spans="1:12" x14ac:dyDescent="0.3">
      <c r="A989" t="s">
        <v>81</v>
      </c>
      <c r="B989">
        <v>101</v>
      </c>
      <c r="C989">
        <v>16</v>
      </c>
      <c r="D989">
        <v>404</v>
      </c>
      <c r="E989">
        <f>SUM(Details[[#This Row],[Actual_Cost]],Details[[#This Row],[Profit]])</f>
        <v>420</v>
      </c>
      <c r="F989">
        <v>4</v>
      </c>
      <c r="G989">
        <f>PRODUCT(Details[[#This Row],[Selling_Cost]],Details[[#This Row],[Quantity]])</f>
        <v>1680</v>
      </c>
      <c r="H989" t="s">
        <v>8</v>
      </c>
      <c r="I989" t="s">
        <v>46</v>
      </c>
      <c r="J989" t="s">
        <v>10</v>
      </c>
      <c r="K989" t="s">
        <v>610</v>
      </c>
      <c r="L989" t="s">
        <v>541</v>
      </c>
    </row>
    <row r="990" spans="1:12" x14ac:dyDescent="0.3">
      <c r="A990" t="s">
        <v>25</v>
      </c>
      <c r="B990">
        <v>116</v>
      </c>
      <c r="C990">
        <v>16</v>
      </c>
      <c r="D990">
        <v>464</v>
      </c>
      <c r="E990">
        <f>SUM(Details[[#This Row],[Actual_Cost]],Details[[#This Row],[Profit]])</f>
        <v>480</v>
      </c>
      <c r="F990">
        <v>4</v>
      </c>
      <c r="G990">
        <f>PRODUCT(Details[[#This Row],[Selling_Cost]],Details[[#This Row],[Quantity]])</f>
        <v>1920</v>
      </c>
      <c r="H990" t="s">
        <v>8</v>
      </c>
      <c r="I990" t="s">
        <v>29</v>
      </c>
      <c r="J990" t="s">
        <v>10</v>
      </c>
      <c r="K990" t="s">
        <v>552</v>
      </c>
      <c r="L990" t="s">
        <v>565</v>
      </c>
    </row>
    <row r="991" spans="1:12" x14ac:dyDescent="0.3">
      <c r="A991" t="s">
        <v>214</v>
      </c>
      <c r="B991">
        <v>149</v>
      </c>
      <c r="C991">
        <v>17</v>
      </c>
      <c r="D991">
        <v>596</v>
      </c>
      <c r="E991">
        <f>SUM(Details[[#This Row],[Actual_Cost]],Details[[#This Row],[Profit]])</f>
        <v>613</v>
      </c>
      <c r="F991">
        <v>4</v>
      </c>
      <c r="G991">
        <f>PRODUCT(Details[[#This Row],[Selling_Cost]],Details[[#This Row],[Quantity]])</f>
        <v>2452</v>
      </c>
      <c r="H991" t="s">
        <v>16</v>
      </c>
      <c r="I991" t="s">
        <v>32</v>
      </c>
      <c r="J991" t="s">
        <v>10</v>
      </c>
      <c r="K991" t="s">
        <v>543</v>
      </c>
      <c r="L991" t="s">
        <v>544</v>
      </c>
    </row>
    <row r="992" spans="1:12" x14ac:dyDescent="0.3">
      <c r="A992" t="s">
        <v>243</v>
      </c>
      <c r="B992">
        <v>206</v>
      </c>
      <c r="C992">
        <v>18</v>
      </c>
      <c r="D992">
        <v>824</v>
      </c>
      <c r="E992">
        <f>SUM(Details[[#This Row],[Actual_Cost]],Details[[#This Row],[Profit]])</f>
        <v>842</v>
      </c>
      <c r="F992">
        <v>4</v>
      </c>
      <c r="G992">
        <f>PRODUCT(Details[[#This Row],[Selling_Cost]],Details[[#This Row],[Quantity]])</f>
        <v>3368</v>
      </c>
      <c r="H992" t="s">
        <v>8</v>
      </c>
      <c r="I992" t="s">
        <v>48</v>
      </c>
      <c r="J992" t="s">
        <v>42</v>
      </c>
      <c r="K992" t="s">
        <v>578</v>
      </c>
      <c r="L992" t="s">
        <v>541</v>
      </c>
    </row>
    <row r="993" spans="1:12" x14ac:dyDescent="0.3">
      <c r="A993" t="s">
        <v>443</v>
      </c>
      <c r="B993">
        <v>121</v>
      </c>
      <c r="C993">
        <v>19</v>
      </c>
      <c r="D993">
        <v>484</v>
      </c>
      <c r="E993">
        <f>SUM(Details[[#This Row],[Actual_Cost]],Details[[#This Row],[Profit]])</f>
        <v>503</v>
      </c>
      <c r="F993">
        <v>4</v>
      </c>
      <c r="G993">
        <f>PRODUCT(Details[[#This Row],[Selling_Cost]],Details[[#This Row],[Quantity]])</f>
        <v>2012</v>
      </c>
      <c r="H993" t="s">
        <v>8</v>
      </c>
      <c r="I993" t="s">
        <v>29</v>
      </c>
      <c r="J993" t="s">
        <v>10</v>
      </c>
      <c r="K993" t="s">
        <v>587</v>
      </c>
      <c r="L993" t="s">
        <v>567</v>
      </c>
    </row>
    <row r="994" spans="1:12" x14ac:dyDescent="0.3">
      <c r="A994" t="s">
        <v>139</v>
      </c>
      <c r="B994">
        <v>829</v>
      </c>
      <c r="C994">
        <v>19</v>
      </c>
      <c r="D994">
        <v>3316</v>
      </c>
      <c r="E994">
        <f>SUM(Details[[#This Row],[Actual_Cost]],Details[[#This Row],[Profit]])</f>
        <v>3335</v>
      </c>
      <c r="F994">
        <v>4</v>
      </c>
      <c r="G994">
        <f>PRODUCT(Details[[#This Row],[Selling_Cost]],Details[[#This Row],[Quantity]])</f>
        <v>13340</v>
      </c>
      <c r="H994" t="s">
        <v>13</v>
      </c>
      <c r="I994" t="s">
        <v>20</v>
      </c>
      <c r="J994" t="s">
        <v>27</v>
      </c>
      <c r="K994" t="s">
        <v>552</v>
      </c>
      <c r="L994" t="s">
        <v>567</v>
      </c>
    </row>
    <row r="995" spans="1:12" x14ac:dyDescent="0.3">
      <c r="A995" t="s">
        <v>383</v>
      </c>
      <c r="B995">
        <v>48</v>
      </c>
      <c r="C995">
        <v>20</v>
      </c>
      <c r="D995">
        <v>192</v>
      </c>
      <c r="E995">
        <f>SUM(Details[[#This Row],[Actual_Cost]],Details[[#This Row],[Profit]])</f>
        <v>212</v>
      </c>
      <c r="F995">
        <v>4</v>
      </c>
      <c r="G995">
        <f>PRODUCT(Details[[#This Row],[Selling_Cost]],Details[[#This Row],[Quantity]])</f>
        <v>848</v>
      </c>
      <c r="H995" t="s">
        <v>8</v>
      </c>
      <c r="I995" t="s">
        <v>29</v>
      </c>
      <c r="J995" t="s">
        <v>18</v>
      </c>
      <c r="K995" t="s">
        <v>569</v>
      </c>
      <c r="L995" t="s">
        <v>546</v>
      </c>
    </row>
    <row r="996" spans="1:12" x14ac:dyDescent="0.3">
      <c r="A996" t="s">
        <v>129</v>
      </c>
      <c r="B996">
        <v>67</v>
      </c>
      <c r="C996">
        <v>20</v>
      </c>
      <c r="D996">
        <v>268</v>
      </c>
      <c r="E996">
        <f>SUM(Details[[#This Row],[Actual_Cost]],Details[[#This Row],[Profit]])</f>
        <v>288</v>
      </c>
      <c r="F996">
        <v>4</v>
      </c>
      <c r="G996">
        <f>PRODUCT(Details[[#This Row],[Selling_Cost]],Details[[#This Row],[Quantity]])</f>
        <v>1152</v>
      </c>
      <c r="H996" t="s">
        <v>8</v>
      </c>
      <c r="I996" t="s">
        <v>46</v>
      </c>
      <c r="J996" t="s">
        <v>18</v>
      </c>
      <c r="K996" t="s">
        <v>561</v>
      </c>
      <c r="L996" t="s">
        <v>546</v>
      </c>
    </row>
    <row r="997" spans="1:12" x14ac:dyDescent="0.3">
      <c r="A997" t="s">
        <v>441</v>
      </c>
      <c r="B997">
        <v>197</v>
      </c>
      <c r="C997">
        <v>20</v>
      </c>
      <c r="D997">
        <v>788</v>
      </c>
      <c r="E997">
        <f>SUM(Details[[#This Row],[Actual_Cost]],Details[[#This Row],[Profit]])</f>
        <v>808</v>
      </c>
      <c r="F997">
        <v>4</v>
      </c>
      <c r="G997">
        <f>PRODUCT(Details[[#This Row],[Selling_Cost]],Details[[#This Row],[Quantity]])</f>
        <v>3232</v>
      </c>
      <c r="H997" t="s">
        <v>8</v>
      </c>
      <c r="I997" t="s">
        <v>44</v>
      </c>
      <c r="J997" t="s">
        <v>27</v>
      </c>
      <c r="K997" t="s">
        <v>552</v>
      </c>
      <c r="L997" t="s">
        <v>546</v>
      </c>
    </row>
    <row r="998" spans="1:12" x14ac:dyDescent="0.3">
      <c r="A998" t="s">
        <v>444</v>
      </c>
      <c r="B998">
        <v>57</v>
      </c>
      <c r="C998">
        <v>21</v>
      </c>
      <c r="D998">
        <v>228</v>
      </c>
      <c r="E998">
        <f>SUM(Details[[#This Row],[Actual_Cost]],Details[[#This Row],[Profit]])</f>
        <v>249</v>
      </c>
      <c r="F998">
        <v>4</v>
      </c>
      <c r="G998">
        <f>PRODUCT(Details[[#This Row],[Selling_Cost]],Details[[#This Row],[Quantity]])</f>
        <v>996</v>
      </c>
      <c r="H998" t="s">
        <v>8</v>
      </c>
      <c r="I998" t="s">
        <v>69</v>
      </c>
      <c r="J998" t="s">
        <v>10</v>
      </c>
      <c r="K998" t="s">
        <v>569</v>
      </c>
      <c r="L998" t="s">
        <v>541</v>
      </c>
    </row>
    <row r="999" spans="1:12" x14ac:dyDescent="0.3">
      <c r="A999" t="s">
        <v>75</v>
      </c>
      <c r="B999">
        <v>60</v>
      </c>
      <c r="C999">
        <v>21</v>
      </c>
      <c r="D999">
        <v>240</v>
      </c>
      <c r="E999">
        <f>SUM(Details[[#This Row],[Actual_Cost]],Details[[#This Row],[Profit]])</f>
        <v>261</v>
      </c>
      <c r="F999">
        <v>4</v>
      </c>
      <c r="G999">
        <f>PRODUCT(Details[[#This Row],[Selling_Cost]],Details[[#This Row],[Quantity]])</f>
        <v>1044</v>
      </c>
      <c r="H999" t="s">
        <v>8</v>
      </c>
      <c r="I999" t="s">
        <v>29</v>
      </c>
      <c r="J999" t="s">
        <v>10</v>
      </c>
      <c r="K999" t="s">
        <v>632</v>
      </c>
      <c r="L999" t="s">
        <v>563</v>
      </c>
    </row>
    <row r="1000" spans="1:12" x14ac:dyDescent="0.3">
      <c r="A1000" t="s">
        <v>81</v>
      </c>
      <c r="B1000">
        <v>148</v>
      </c>
      <c r="C1000">
        <v>23</v>
      </c>
      <c r="D1000">
        <v>592</v>
      </c>
      <c r="E1000">
        <f>SUM(Details[[#This Row],[Actual_Cost]],Details[[#This Row],[Profit]])</f>
        <v>615</v>
      </c>
      <c r="F1000">
        <v>4</v>
      </c>
      <c r="G1000">
        <f>PRODUCT(Details[[#This Row],[Selling_Cost]],Details[[#This Row],[Quantity]])</f>
        <v>2460</v>
      </c>
      <c r="H1000" t="s">
        <v>8</v>
      </c>
      <c r="I1000" t="s">
        <v>44</v>
      </c>
      <c r="J1000" t="s">
        <v>125</v>
      </c>
      <c r="K1000" t="s">
        <v>610</v>
      </c>
      <c r="L1000" t="s">
        <v>541</v>
      </c>
    </row>
    <row r="1001" spans="1:12" x14ac:dyDescent="0.3">
      <c r="A1001" t="s">
        <v>259</v>
      </c>
      <c r="B1001">
        <v>113</v>
      </c>
      <c r="C1001">
        <v>24</v>
      </c>
      <c r="D1001">
        <v>452</v>
      </c>
      <c r="E1001">
        <f>SUM(Details[[#This Row],[Actual_Cost]],Details[[#This Row],[Profit]])</f>
        <v>476</v>
      </c>
      <c r="F1001">
        <v>4</v>
      </c>
      <c r="G1001">
        <f>PRODUCT(Details[[#This Row],[Selling_Cost]],Details[[#This Row],[Quantity]])</f>
        <v>1904</v>
      </c>
      <c r="H1001" t="s">
        <v>8</v>
      </c>
      <c r="I1001" t="s">
        <v>48</v>
      </c>
      <c r="J1001" t="s">
        <v>42</v>
      </c>
      <c r="K1001" t="s">
        <v>587</v>
      </c>
      <c r="L1001" t="s">
        <v>544</v>
      </c>
    </row>
    <row r="1002" spans="1:12" x14ac:dyDescent="0.3">
      <c r="A1002" t="s">
        <v>445</v>
      </c>
      <c r="B1002">
        <v>61</v>
      </c>
      <c r="C1002">
        <v>25</v>
      </c>
      <c r="D1002">
        <v>244</v>
      </c>
      <c r="E1002">
        <f>SUM(Details[[#This Row],[Actual_Cost]],Details[[#This Row],[Profit]])</f>
        <v>269</v>
      </c>
      <c r="F1002">
        <v>4</v>
      </c>
      <c r="G1002">
        <f>PRODUCT(Details[[#This Row],[Selling_Cost]],Details[[#This Row],[Quantity]])</f>
        <v>1076</v>
      </c>
      <c r="H1002" t="s">
        <v>8</v>
      </c>
      <c r="I1002" t="s">
        <v>9</v>
      </c>
      <c r="J1002" t="s">
        <v>18</v>
      </c>
      <c r="K1002" t="s">
        <v>587</v>
      </c>
      <c r="L1002" t="s">
        <v>546</v>
      </c>
    </row>
    <row r="1003" spans="1:12" x14ac:dyDescent="0.3">
      <c r="A1003" t="s">
        <v>446</v>
      </c>
      <c r="B1003">
        <v>118</v>
      </c>
      <c r="C1003">
        <v>25</v>
      </c>
      <c r="D1003">
        <v>472</v>
      </c>
      <c r="E1003">
        <f>SUM(Details[[#This Row],[Actual_Cost]],Details[[#This Row],[Profit]])</f>
        <v>497</v>
      </c>
      <c r="F1003">
        <v>4</v>
      </c>
      <c r="G1003">
        <f>PRODUCT(Details[[#This Row],[Selling_Cost]],Details[[#This Row],[Quantity]])</f>
        <v>1988</v>
      </c>
      <c r="H1003" t="s">
        <v>8</v>
      </c>
      <c r="I1003" t="s">
        <v>48</v>
      </c>
      <c r="J1003" t="s">
        <v>27</v>
      </c>
      <c r="K1003" t="s">
        <v>569</v>
      </c>
      <c r="L1003" t="s">
        <v>567</v>
      </c>
    </row>
    <row r="1004" spans="1:12" x14ac:dyDescent="0.3">
      <c r="A1004" t="s">
        <v>441</v>
      </c>
      <c r="B1004">
        <v>108</v>
      </c>
      <c r="C1004">
        <v>26</v>
      </c>
      <c r="D1004">
        <v>432</v>
      </c>
      <c r="E1004">
        <f>SUM(Details[[#This Row],[Actual_Cost]],Details[[#This Row],[Profit]])</f>
        <v>458</v>
      </c>
      <c r="F1004">
        <v>4</v>
      </c>
      <c r="G1004">
        <f>PRODUCT(Details[[#This Row],[Selling_Cost]],Details[[#This Row],[Quantity]])</f>
        <v>1832</v>
      </c>
      <c r="H1004" t="s">
        <v>8</v>
      </c>
      <c r="I1004" t="s">
        <v>61</v>
      </c>
      <c r="J1004" t="s">
        <v>18</v>
      </c>
      <c r="K1004" t="s">
        <v>552</v>
      </c>
      <c r="L1004" t="s">
        <v>546</v>
      </c>
    </row>
    <row r="1005" spans="1:12" x14ac:dyDescent="0.3">
      <c r="A1005" t="s">
        <v>245</v>
      </c>
      <c r="B1005">
        <v>154</v>
      </c>
      <c r="C1005">
        <v>26</v>
      </c>
      <c r="D1005">
        <v>616</v>
      </c>
      <c r="E1005">
        <f>SUM(Details[[#This Row],[Actual_Cost]],Details[[#This Row],[Profit]])</f>
        <v>642</v>
      </c>
      <c r="F1005">
        <v>4</v>
      </c>
      <c r="G1005">
        <f>PRODUCT(Details[[#This Row],[Selling_Cost]],Details[[#This Row],[Quantity]])</f>
        <v>2568</v>
      </c>
      <c r="H1005" t="s">
        <v>13</v>
      </c>
      <c r="I1005" t="s">
        <v>55</v>
      </c>
      <c r="J1005" t="s">
        <v>10</v>
      </c>
      <c r="K1005" t="s">
        <v>548</v>
      </c>
      <c r="L1005" t="s">
        <v>550</v>
      </c>
    </row>
    <row r="1006" spans="1:12" x14ac:dyDescent="0.3">
      <c r="A1006" t="s">
        <v>378</v>
      </c>
      <c r="B1006">
        <v>163</v>
      </c>
      <c r="C1006">
        <v>26</v>
      </c>
      <c r="D1006">
        <v>652</v>
      </c>
      <c r="E1006">
        <f>SUM(Details[[#This Row],[Actual_Cost]],Details[[#This Row],[Profit]])</f>
        <v>678</v>
      </c>
      <c r="F1006">
        <v>4</v>
      </c>
      <c r="G1006">
        <f>PRODUCT(Details[[#This Row],[Selling_Cost]],Details[[#This Row],[Quantity]])</f>
        <v>2712</v>
      </c>
      <c r="H1006" t="s">
        <v>8</v>
      </c>
      <c r="I1006" t="s">
        <v>61</v>
      </c>
      <c r="J1006" t="s">
        <v>10</v>
      </c>
      <c r="K1006" t="s">
        <v>711</v>
      </c>
      <c r="L1006" t="s">
        <v>567</v>
      </c>
    </row>
    <row r="1007" spans="1:12" x14ac:dyDescent="0.3">
      <c r="A1007" t="s">
        <v>436</v>
      </c>
      <c r="B1007">
        <v>618</v>
      </c>
      <c r="C1007">
        <v>27</v>
      </c>
      <c r="D1007">
        <v>2472</v>
      </c>
      <c r="E1007">
        <f>SUM(Details[[#This Row],[Actual_Cost]],Details[[#This Row],[Profit]])</f>
        <v>2499</v>
      </c>
      <c r="F1007">
        <v>4</v>
      </c>
      <c r="G1007">
        <f>PRODUCT(Details[[#This Row],[Selling_Cost]],Details[[#This Row],[Quantity]])</f>
        <v>9996</v>
      </c>
      <c r="H1007" t="s">
        <v>16</v>
      </c>
      <c r="I1007" t="s">
        <v>17</v>
      </c>
      <c r="J1007" t="s">
        <v>27</v>
      </c>
      <c r="K1007" t="s">
        <v>552</v>
      </c>
      <c r="L1007" t="s">
        <v>541</v>
      </c>
    </row>
    <row r="1008" spans="1:12" x14ac:dyDescent="0.3">
      <c r="A1008" t="s">
        <v>433</v>
      </c>
      <c r="B1008">
        <v>485</v>
      </c>
      <c r="C1008">
        <v>29</v>
      </c>
      <c r="D1008">
        <v>1940</v>
      </c>
      <c r="E1008">
        <f>SUM(Details[[#This Row],[Actual_Cost]],Details[[#This Row],[Profit]])</f>
        <v>1969</v>
      </c>
      <c r="F1008">
        <v>4</v>
      </c>
      <c r="G1008">
        <f>PRODUCT(Details[[#This Row],[Selling_Cost]],Details[[#This Row],[Quantity]])</f>
        <v>7876</v>
      </c>
      <c r="H1008" t="s">
        <v>13</v>
      </c>
      <c r="I1008" t="s">
        <v>34</v>
      </c>
      <c r="J1008" t="s">
        <v>10</v>
      </c>
      <c r="K1008" t="s">
        <v>539</v>
      </c>
      <c r="L1008" t="s">
        <v>565</v>
      </c>
    </row>
    <row r="1009" spans="1:12" x14ac:dyDescent="0.3">
      <c r="A1009" t="s">
        <v>250</v>
      </c>
      <c r="B1009">
        <v>187</v>
      </c>
      <c r="C1009">
        <v>30</v>
      </c>
      <c r="D1009">
        <v>748</v>
      </c>
      <c r="E1009">
        <f>SUM(Details[[#This Row],[Actual_Cost]],Details[[#This Row],[Profit]])</f>
        <v>778</v>
      </c>
      <c r="F1009">
        <v>4</v>
      </c>
      <c r="G1009">
        <f>PRODUCT(Details[[#This Row],[Selling_Cost]],Details[[#This Row],[Quantity]])</f>
        <v>3112</v>
      </c>
      <c r="H1009" t="s">
        <v>13</v>
      </c>
      <c r="I1009" t="s">
        <v>55</v>
      </c>
      <c r="J1009" t="s">
        <v>27</v>
      </c>
      <c r="K1009" t="s">
        <v>607</v>
      </c>
      <c r="L1009" t="s">
        <v>614</v>
      </c>
    </row>
    <row r="1010" spans="1:12" x14ac:dyDescent="0.3">
      <c r="A1010" t="s">
        <v>140</v>
      </c>
      <c r="B1010">
        <v>201</v>
      </c>
      <c r="C1010">
        <v>32</v>
      </c>
      <c r="D1010">
        <v>804</v>
      </c>
      <c r="E1010">
        <f>SUM(Details[[#This Row],[Actual_Cost]],Details[[#This Row],[Profit]])</f>
        <v>836</v>
      </c>
      <c r="F1010">
        <v>4</v>
      </c>
      <c r="G1010">
        <f>PRODUCT(Details[[#This Row],[Selling_Cost]],Details[[#This Row],[Quantity]])</f>
        <v>3344</v>
      </c>
      <c r="H1010" t="s">
        <v>16</v>
      </c>
      <c r="I1010" t="s">
        <v>32</v>
      </c>
      <c r="J1010" t="s">
        <v>18</v>
      </c>
      <c r="K1010" t="s">
        <v>543</v>
      </c>
      <c r="L1010" t="s">
        <v>544</v>
      </c>
    </row>
    <row r="1011" spans="1:12" x14ac:dyDescent="0.3">
      <c r="A1011" t="s">
        <v>333</v>
      </c>
      <c r="B1011">
        <v>79</v>
      </c>
      <c r="C1011">
        <v>33</v>
      </c>
      <c r="D1011">
        <v>316</v>
      </c>
      <c r="E1011">
        <f>SUM(Details[[#This Row],[Actual_Cost]],Details[[#This Row],[Profit]])</f>
        <v>349</v>
      </c>
      <c r="F1011">
        <v>4</v>
      </c>
      <c r="G1011">
        <f>PRODUCT(Details[[#This Row],[Selling_Cost]],Details[[#This Row],[Quantity]])</f>
        <v>1396</v>
      </c>
      <c r="H1011" t="s">
        <v>8</v>
      </c>
      <c r="I1011" t="s">
        <v>29</v>
      </c>
      <c r="J1011" t="s">
        <v>18</v>
      </c>
      <c r="K1011" t="s">
        <v>626</v>
      </c>
      <c r="L1011" t="s">
        <v>541</v>
      </c>
    </row>
    <row r="1012" spans="1:12" x14ac:dyDescent="0.3">
      <c r="A1012" t="s">
        <v>283</v>
      </c>
      <c r="B1012">
        <v>469</v>
      </c>
      <c r="C1012">
        <v>33</v>
      </c>
      <c r="D1012">
        <v>1876</v>
      </c>
      <c r="E1012">
        <f>SUM(Details[[#This Row],[Actual_Cost]],Details[[#This Row],[Profit]])</f>
        <v>1909</v>
      </c>
      <c r="F1012">
        <v>4</v>
      </c>
      <c r="G1012">
        <f>PRODUCT(Details[[#This Row],[Selling_Cost]],Details[[#This Row],[Quantity]])</f>
        <v>7636</v>
      </c>
      <c r="H1012" t="s">
        <v>13</v>
      </c>
      <c r="I1012" t="s">
        <v>34</v>
      </c>
      <c r="J1012" t="s">
        <v>42</v>
      </c>
      <c r="K1012" t="s">
        <v>711</v>
      </c>
      <c r="L1012" t="s">
        <v>546</v>
      </c>
    </row>
    <row r="1013" spans="1:12" x14ac:dyDescent="0.3">
      <c r="A1013" t="s">
        <v>145</v>
      </c>
      <c r="B1013">
        <v>499</v>
      </c>
      <c r="C1013">
        <v>33</v>
      </c>
      <c r="D1013">
        <v>1996</v>
      </c>
      <c r="E1013">
        <f>SUM(Details[[#This Row],[Actual_Cost]],Details[[#This Row],[Profit]])</f>
        <v>2029</v>
      </c>
      <c r="F1013">
        <v>4</v>
      </c>
      <c r="G1013">
        <f>PRODUCT(Details[[#This Row],[Selling_Cost]],Details[[#This Row],[Quantity]])</f>
        <v>8116</v>
      </c>
      <c r="H1013" t="s">
        <v>8</v>
      </c>
      <c r="I1013" t="s">
        <v>9</v>
      </c>
      <c r="J1013" t="s">
        <v>10</v>
      </c>
      <c r="K1013" t="s">
        <v>607</v>
      </c>
      <c r="L1013" t="s">
        <v>550</v>
      </c>
    </row>
    <row r="1014" spans="1:12" x14ac:dyDescent="0.3">
      <c r="A1014" t="s">
        <v>101</v>
      </c>
      <c r="B1014">
        <v>221</v>
      </c>
      <c r="C1014">
        <v>35</v>
      </c>
      <c r="D1014">
        <v>884</v>
      </c>
      <c r="E1014">
        <f>SUM(Details[[#This Row],[Actual_Cost]],Details[[#This Row],[Profit]])</f>
        <v>919</v>
      </c>
      <c r="F1014">
        <v>4</v>
      </c>
      <c r="G1014">
        <f>PRODUCT(Details[[#This Row],[Selling_Cost]],Details[[#This Row],[Quantity]])</f>
        <v>3676</v>
      </c>
      <c r="H1014" t="s">
        <v>13</v>
      </c>
      <c r="I1014" t="s">
        <v>55</v>
      </c>
      <c r="J1014" t="s">
        <v>42</v>
      </c>
      <c r="K1014" t="s">
        <v>548</v>
      </c>
      <c r="L1014" t="s">
        <v>544</v>
      </c>
    </row>
    <row r="1015" spans="1:12" x14ac:dyDescent="0.3">
      <c r="A1015" t="s">
        <v>147</v>
      </c>
      <c r="B1015">
        <v>79</v>
      </c>
      <c r="C1015">
        <v>36</v>
      </c>
      <c r="D1015">
        <v>316</v>
      </c>
      <c r="E1015">
        <f>SUM(Details[[#This Row],[Actual_Cost]],Details[[#This Row],[Profit]])</f>
        <v>352</v>
      </c>
      <c r="F1015">
        <v>4</v>
      </c>
      <c r="G1015">
        <f>PRODUCT(Details[[#This Row],[Selling_Cost]],Details[[#This Row],[Quantity]])</f>
        <v>1408</v>
      </c>
      <c r="H1015" t="s">
        <v>8</v>
      </c>
      <c r="I1015" t="s">
        <v>61</v>
      </c>
      <c r="J1015" t="s">
        <v>10</v>
      </c>
      <c r="K1015" t="s">
        <v>607</v>
      </c>
      <c r="L1015" t="s">
        <v>585</v>
      </c>
    </row>
    <row r="1016" spans="1:12" x14ac:dyDescent="0.3">
      <c r="A1016" t="s">
        <v>90</v>
      </c>
      <c r="B1016">
        <v>207</v>
      </c>
      <c r="C1016">
        <v>37</v>
      </c>
      <c r="D1016">
        <v>828</v>
      </c>
      <c r="E1016">
        <f>SUM(Details[[#This Row],[Actual_Cost]],Details[[#This Row],[Profit]])</f>
        <v>865</v>
      </c>
      <c r="F1016">
        <v>4</v>
      </c>
      <c r="G1016">
        <f>PRODUCT(Details[[#This Row],[Selling_Cost]],Details[[#This Row],[Quantity]])</f>
        <v>3460</v>
      </c>
      <c r="H1016" t="s">
        <v>8</v>
      </c>
      <c r="I1016" t="s">
        <v>48</v>
      </c>
      <c r="J1016" t="s">
        <v>10</v>
      </c>
      <c r="K1016" t="s">
        <v>548</v>
      </c>
      <c r="L1016" t="s">
        <v>541</v>
      </c>
    </row>
    <row r="1017" spans="1:12" x14ac:dyDescent="0.3">
      <c r="A1017" t="s">
        <v>230</v>
      </c>
      <c r="B1017">
        <v>121</v>
      </c>
      <c r="C1017">
        <v>41</v>
      </c>
      <c r="D1017">
        <v>484</v>
      </c>
      <c r="E1017">
        <f>SUM(Details[[#This Row],[Actual_Cost]],Details[[#This Row],[Profit]])</f>
        <v>525</v>
      </c>
      <c r="F1017">
        <v>4</v>
      </c>
      <c r="G1017">
        <f>PRODUCT(Details[[#This Row],[Selling_Cost]],Details[[#This Row],[Quantity]])</f>
        <v>2100</v>
      </c>
      <c r="H1017" t="s">
        <v>8</v>
      </c>
      <c r="I1017" t="s">
        <v>29</v>
      </c>
      <c r="J1017" t="s">
        <v>18</v>
      </c>
      <c r="K1017" t="s">
        <v>552</v>
      </c>
      <c r="L1017" t="s">
        <v>550</v>
      </c>
    </row>
    <row r="1018" spans="1:12" x14ac:dyDescent="0.3">
      <c r="A1018" t="s">
        <v>366</v>
      </c>
      <c r="B1018">
        <v>121</v>
      </c>
      <c r="C1018">
        <v>41</v>
      </c>
      <c r="D1018">
        <v>484</v>
      </c>
      <c r="E1018">
        <f>SUM(Details[[#This Row],[Actual_Cost]],Details[[#This Row],[Profit]])</f>
        <v>525</v>
      </c>
      <c r="F1018">
        <v>4</v>
      </c>
      <c r="G1018">
        <f>PRODUCT(Details[[#This Row],[Selling_Cost]],Details[[#This Row],[Quantity]])</f>
        <v>2100</v>
      </c>
      <c r="H1018" t="s">
        <v>8</v>
      </c>
      <c r="I1018" t="s">
        <v>29</v>
      </c>
      <c r="J1018" t="s">
        <v>125</v>
      </c>
      <c r="K1018" t="s">
        <v>578</v>
      </c>
      <c r="L1018" t="s">
        <v>567</v>
      </c>
    </row>
    <row r="1019" spans="1:12" x14ac:dyDescent="0.3">
      <c r="A1019" t="s">
        <v>447</v>
      </c>
      <c r="B1019">
        <v>177</v>
      </c>
      <c r="C1019">
        <v>41</v>
      </c>
      <c r="D1019">
        <v>708</v>
      </c>
      <c r="E1019">
        <f>SUM(Details[[#This Row],[Actual_Cost]],Details[[#This Row],[Profit]])</f>
        <v>749</v>
      </c>
      <c r="F1019">
        <v>4</v>
      </c>
      <c r="G1019">
        <f>PRODUCT(Details[[#This Row],[Selling_Cost]],Details[[#This Row],[Quantity]])</f>
        <v>2996</v>
      </c>
      <c r="H1019" t="s">
        <v>8</v>
      </c>
      <c r="I1019" t="s">
        <v>61</v>
      </c>
      <c r="J1019" t="s">
        <v>42</v>
      </c>
      <c r="K1019" t="s">
        <v>596</v>
      </c>
      <c r="L1019" t="s">
        <v>546</v>
      </c>
    </row>
    <row r="1020" spans="1:12" x14ac:dyDescent="0.3">
      <c r="A1020" t="s">
        <v>250</v>
      </c>
      <c r="B1020">
        <v>473</v>
      </c>
      <c r="C1020">
        <v>42</v>
      </c>
      <c r="D1020">
        <v>1892</v>
      </c>
      <c r="E1020">
        <f>SUM(Details[[#This Row],[Actual_Cost]],Details[[#This Row],[Profit]])</f>
        <v>1934</v>
      </c>
      <c r="F1020">
        <v>4</v>
      </c>
      <c r="G1020">
        <f>PRODUCT(Details[[#This Row],[Selling_Cost]],Details[[#This Row],[Quantity]])</f>
        <v>7736</v>
      </c>
      <c r="H1020" t="s">
        <v>16</v>
      </c>
      <c r="I1020" t="s">
        <v>23</v>
      </c>
      <c r="J1020" t="s">
        <v>10</v>
      </c>
      <c r="K1020" t="s">
        <v>607</v>
      </c>
      <c r="L1020" t="s">
        <v>614</v>
      </c>
    </row>
    <row r="1021" spans="1:12" x14ac:dyDescent="0.3">
      <c r="A1021" t="s">
        <v>226</v>
      </c>
      <c r="B1021">
        <v>128</v>
      </c>
      <c r="C1021">
        <v>47</v>
      </c>
      <c r="D1021">
        <v>512</v>
      </c>
      <c r="E1021">
        <f>SUM(Details[[#This Row],[Actual_Cost]],Details[[#This Row],[Profit]])</f>
        <v>559</v>
      </c>
      <c r="F1021">
        <v>4</v>
      </c>
      <c r="G1021">
        <f>PRODUCT(Details[[#This Row],[Selling_Cost]],Details[[#This Row],[Quantity]])</f>
        <v>2236</v>
      </c>
      <c r="H1021" t="s">
        <v>8</v>
      </c>
      <c r="I1021" t="s">
        <v>48</v>
      </c>
      <c r="J1021" t="s">
        <v>10</v>
      </c>
      <c r="K1021" t="s">
        <v>552</v>
      </c>
      <c r="L1021" t="s">
        <v>544</v>
      </c>
    </row>
    <row r="1022" spans="1:12" x14ac:dyDescent="0.3">
      <c r="A1022" t="s">
        <v>377</v>
      </c>
      <c r="B1022">
        <v>185</v>
      </c>
      <c r="C1022">
        <v>48</v>
      </c>
      <c r="D1022">
        <v>740</v>
      </c>
      <c r="E1022">
        <f>SUM(Details[[#This Row],[Actual_Cost]],Details[[#This Row],[Profit]])</f>
        <v>788</v>
      </c>
      <c r="F1022">
        <v>4</v>
      </c>
      <c r="G1022">
        <f>PRODUCT(Details[[#This Row],[Selling_Cost]],Details[[#This Row],[Quantity]])</f>
        <v>3152</v>
      </c>
      <c r="H1022" t="s">
        <v>8</v>
      </c>
      <c r="I1022" t="s">
        <v>29</v>
      </c>
      <c r="J1022" t="s">
        <v>18</v>
      </c>
      <c r="K1022" t="s">
        <v>711</v>
      </c>
      <c r="L1022" t="s">
        <v>541</v>
      </c>
    </row>
    <row r="1023" spans="1:12" x14ac:dyDescent="0.3">
      <c r="A1023" t="s">
        <v>141</v>
      </c>
      <c r="B1023">
        <v>185</v>
      </c>
      <c r="C1023">
        <v>48</v>
      </c>
      <c r="D1023">
        <v>740</v>
      </c>
      <c r="E1023">
        <f>SUM(Details[[#This Row],[Actual_Cost]],Details[[#This Row],[Profit]])</f>
        <v>788</v>
      </c>
      <c r="F1023">
        <v>4</v>
      </c>
      <c r="G1023">
        <f>PRODUCT(Details[[#This Row],[Selling_Cost]],Details[[#This Row],[Quantity]])</f>
        <v>3152</v>
      </c>
      <c r="H1023" t="s">
        <v>8</v>
      </c>
      <c r="I1023" t="s">
        <v>29</v>
      </c>
      <c r="J1023" t="s">
        <v>27</v>
      </c>
      <c r="K1023" t="s">
        <v>552</v>
      </c>
      <c r="L1023" t="s">
        <v>563</v>
      </c>
    </row>
    <row r="1024" spans="1:12" x14ac:dyDescent="0.3">
      <c r="A1024" t="s">
        <v>244</v>
      </c>
      <c r="B1024">
        <v>199</v>
      </c>
      <c r="C1024">
        <v>48</v>
      </c>
      <c r="D1024">
        <v>796</v>
      </c>
      <c r="E1024">
        <f>SUM(Details[[#This Row],[Actual_Cost]],Details[[#This Row],[Profit]])</f>
        <v>844</v>
      </c>
      <c r="F1024">
        <v>4</v>
      </c>
      <c r="G1024">
        <f>PRODUCT(Details[[#This Row],[Selling_Cost]],Details[[#This Row],[Quantity]])</f>
        <v>3376</v>
      </c>
      <c r="H1024" t="s">
        <v>8</v>
      </c>
      <c r="I1024" t="s">
        <v>29</v>
      </c>
      <c r="J1024" t="s">
        <v>18</v>
      </c>
      <c r="K1024" t="s">
        <v>569</v>
      </c>
      <c r="L1024" t="s">
        <v>567</v>
      </c>
    </row>
    <row r="1025" spans="1:12" x14ac:dyDescent="0.3">
      <c r="A1025" t="s">
        <v>314</v>
      </c>
      <c r="B1025">
        <v>216</v>
      </c>
      <c r="C1025">
        <v>50</v>
      </c>
      <c r="D1025">
        <v>864</v>
      </c>
      <c r="E1025">
        <f>SUM(Details[[#This Row],[Actual_Cost]],Details[[#This Row],[Profit]])</f>
        <v>914</v>
      </c>
      <c r="F1025">
        <v>4</v>
      </c>
      <c r="G1025">
        <f>PRODUCT(Details[[#This Row],[Selling_Cost]],Details[[#This Row],[Quantity]])</f>
        <v>3656</v>
      </c>
      <c r="H1025" t="s">
        <v>8</v>
      </c>
      <c r="I1025" t="s">
        <v>29</v>
      </c>
      <c r="J1025" t="s">
        <v>10</v>
      </c>
      <c r="K1025" t="s">
        <v>632</v>
      </c>
      <c r="L1025" t="s">
        <v>541</v>
      </c>
    </row>
    <row r="1026" spans="1:12" x14ac:dyDescent="0.3">
      <c r="A1026" t="s">
        <v>73</v>
      </c>
      <c r="B1026">
        <v>206</v>
      </c>
      <c r="C1026">
        <v>51</v>
      </c>
      <c r="D1026">
        <v>824</v>
      </c>
      <c r="E1026">
        <f>SUM(Details[[#This Row],[Actual_Cost]],Details[[#This Row],[Profit]])</f>
        <v>875</v>
      </c>
      <c r="F1026">
        <v>4</v>
      </c>
      <c r="G1026">
        <f>PRODUCT(Details[[#This Row],[Selling_Cost]],Details[[#This Row],[Quantity]])</f>
        <v>3500</v>
      </c>
      <c r="H1026" t="s">
        <v>8</v>
      </c>
      <c r="I1026" t="s">
        <v>48</v>
      </c>
      <c r="J1026" t="s">
        <v>27</v>
      </c>
      <c r="K1026" t="s">
        <v>626</v>
      </c>
      <c r="L1026" t="s">
        <v>544</v>
      </c>
    </row>
    <row r="1027" spans="1:12" x14ac:dyDescent="0.3">
      <c r="A1027" t="s">
        <v>448</v>
      </c>
      <c r="B1027">
        <v>126</v>
      </c>
      <c r="C1027">
        <v>52</v>
      </c>
      <c r="D1027">
        <v>504</v>
      </c>
      <c r="E1027">
        <f>SUM(Details[[#This Row],[Actual_Cost]],Details[[#This Row],[Profit]])</f>
        <v>556</v>
      </c>
      <c r="F1027">
        <v>4</v>
      </c>
      <c r="G1027">
        <f>PRODUCT(Details[[#This Row],[Selling_Cost]],Details[[#This Row],[Quantity]])</f>
        <v>2224</v>
      </c>
      <c r="H1027" t="s">
        <v>8</v>
      </c>
      <c r="I1027" t="s">
        <v>48</v>
      </c>
      <c r="J1027" t="s">
        <v>18</v>
      </c>
      <c r="K1027" t="s">
        <v>548</v>
      </c>
      <c r="L1027" t="s">
        <v>563</v>
      </c>
    </row>
    <row r="1028" spans="1:12" x14ac:dyDescent="0.3">
      <c r="A1028" t="s">
        <v>82</v>
      </c>
      <c r="B1028">
        <v>180</v>
      </c>
      <c r="C1028">
        <v>54</v>
      </c>
      <c r="D1028">
        <v>720</v>
      </c>
      <c r="E1028">
        <f>SUM(Details[[#This Row],[Actual_Cost]],Details[[#This Row],[Profit]])</f>
        <v>774</v>
      </c>
      <c r="F1028">
        <v>4</v>
      </c>
      <c r="G1028">
        <f>PRODUCT(Details[[#This Row],[Selling_Cost]],Details[[#This Row],[Quantity]])</f>
        <v>3096</v>
      </c>
      <c r="H1028" t="s">
        <v>8</v>
      </c>
      <c r="I1028" t="s">
        <v>46</v>
      </c>
      <c r="J1028" t="s">
        <v>27</v>
      </c>
      <c r="K1028" t="s">
        <v>569</v>
      </c>
      <c r="L1028" t="s">
        <v>546</v>
      </c>
    </row>
    <row r="1029" spans="1:12" x14ac:dyDescent="0.3">
      <c r="A1029" t="s">
        <v>192</v>
      </c>
      <c r="B1029">
        <v>494</v>
      </c>
      <c r="C1029">
        <v>54</v>
      </c>
      <c r="D1029">
        <v>1976</v>
      </c>
      <c r="E1029">
        <f>SUM(Details[[#This Row],[Actual_Cost]],Details[[#This Row],[Profit]])</f>
        <v>2030</v>
      </c>
      <c r="F1029">
        <v>4</v>
      </c>
      <c r="G1029">
        <f>PRODUCT(Details[[#This Row],[Selling_Cost]],Details[[#This Row],[Quantity]])</f>
        <v>8120</v>
      </c>
      <c r="H1029" t="s">
        <v>16</v>
      </c>
      <c r="I1029" t="s">
        <v>17</v>
      </c>
      <c r="J1029" t="s">
        <v>10</v>
      </c>
      <c r="K1029" t="s">
        <v>581</v>
      </c>
      <c r="L1029" t="s">
        <v>565</v>
      </c>
    </row>
    <row r="1030" spans="1:12" x14ac:dyDescent="0.3">
      <c r="A1030" t="s">
        <v>258</v>
      </c>
      <c r="B1030">
        <v>169</v>
      </c>
      <c r="C1030">
        <v>55</v>
      </c>
      <c r="D1030">
        <v>676</v>
      </c>
      <c r="E1030">
        <f>SUM(Details[[#This Row],[Actual_Cost]],Details[[#This Row],[Profit]])</f>
        <v>731</v>
      </c>
      <c r="F1030">
        <v>4</v>
      </c>
      <c r="G1030">
        <f>PRODUCT(Details[[#This Row],[Selling_Cost]],Details[[#This Row],[Quantity]])</f>
        <v>2924</v>
      </c>
      <c r="H1030" t="s">
        <v>8</v>
      </c>
      <c r="I1030" t="s">
        <v>9</v>
      </c>
      <c r="J1030" t="s">
        <v>42</v>
      </c>
      <c r="K1030" t="s">
        <v>607</v>
      </c>
      <c r="L1030" t="s">
        <v>541</v>
      </c>
    </row>
    <row r="1031" spans="1:12" x14ac:dyDescent="0.3">
      <c r="A1031" t="s">
        <v>303</v>
      </c>
      <c r="B1031">
        <v>140</v>
      </c>
      <c r="C1031">
        <v>56</v>
      </c>
      <c r="D1031">
        <v>560</v>
      </c>
      <c r="E1031">
        <f>SUM(Details[[#This Row],[Actual_Cost]],Details[[#This Row],[Profit]])</f>
        <v>616</v>
      </c>
      <c r="F1031">
        <v>4</v>
      </c>
      <c r="G1031">
        <f>PRODUCT(Details[[#This Row],[Selling_Cost]],Details[[#This Row],[Quantity]])</f>
        <v>2464</v>
      </c>
      <c r="H1031" t="s">
        <v>8</v>
      </c>
      <c r="I1031" t="s">
        <v>61</v>
      </c>
      <c r="J1031" t="s">
        <v>18</v>
      </c>
      <c r="K1031" t="s">
        <v>632</v>
      </c>
      <c r="L1031" t="s">
        <v>541</v>
      </c>
    </row>
    <row r="1032" spans="1:12" x14ac:dyDescent="0.3">
      <c r="A1032" t="s">
        <v>262</v>
      </c>
      <c r="B1032">
        <v>474</v>
      </c>
      <c r="C1032">
        <v>56</v>
      </c>
      <c r="D1032">
        <v>1896</v>
      </c>
      <c r="E1032">
        <f>SUM(Details[[#This Row],[Actual_Cost]],Details[[#This Row],[Profit]])</f>
        <v>1952</v>
      </c>
      <c r="F1032">
        <v>4</v>
      </c>
      <c r="G1032">
        <f>PRODUCT(Details[[#This Row],[Selling_Cost]],Details[[#This Row],[Quantity]])</f>
        <v>7808</v>
      </c>
      <c r="H1032" t="s">
        <v>13</v>
      </c>
      <c r="I1032" t="s">
        <v>14</v>
      </c>
      <c r="J1032" t="s">
        <v>42</v>
      </c>
      <c r="K1032" t="s">
        <v>548</v>
      </c>
      <c r="L1032" t="s">
        <v>546</v>
      </c>
    </row>
    <row r="1033" spans="1:12" x14ac:dyDescent="0.3">
      <c r="A1033" t="s">
        <v>344</v>
      </c>
      <c r="B1033">
        <v>714</v>
      </c>
      <c r="C1033">
        <v>56</v>
      </c>
      <c r="D1033">
        <v>2856</v>
      </c>
      <c r="E1033">
        <f>SUM(Details[[#This Row],[Actual_Cost]],Details[[#This Row],[Profit]])</f>
        <v>2912</v>
      </c>
      <c r="F1033">
        <v>4</v>
      </c>
      <c r="G1033">
        <f>PRODUCT(Details[[#This Row],[Selling_Cost]],Details[[#This Row],[Quantity]])</f>
        <v>11648</v>
      </c>
      <c r="H1033" t="s">
        <v>8</v>
      </c>
      <c r="I1033" t="s">
        <v>9</v>
      </c>
      <c r="J1033" t="s">
        <v>10</v>
      </c>
      <c r="K1033" t="s">
        <v>548</v>
      </c>
      <c r="L1033" t="s">
        <v>585</v>
      </c>
    </row>
    <row r="1034" spans="1:12" x14ac:dyDescent="0.3">
      <c r="A1034" t="s">
        <v>114</v>
      </c>
      <c r="B1034">
        <v>189</v>
      </c>
      <c r="C1034">
        <v>60</v>
      </c>
      <c r="D1034">
        <v>756</v>
      </c>
      <c r="E1034">
        <f>SUM(Details[[#This Row],[Actual_Cost]],Details[[#This Row],[Profit]])</f>
        <v>816</v>
      </c>
      <c r="F1034">
        <v>4</v>
      </c>
      <c r="G1034">
        <f>PRODUCT(Details[[#This Row],[Selling_Cost]],Details[[#This Row],[Quantity]])</f>
        <v>3264</v>
      </c>
      <c r="H1034" t="s">
        <v>16</v>
      </c>
      <c r="I1034" t="s">
        <v>32</v>
      </c>
      <c r="J1034" t="s">
        <v>42</v>
      </c>
      <c r="K1034" t="s">
        <v>569</v>
      </c>
      <c r="L1034" t="s">
        <v>546</v>
      </c>
    </row>
    <row r="1035" spans="1:12" x14ac:dyDescent="0.3">
      <c r="A1035" t="s">
        <v>124</v>
      </c>
      <c r="B1035">
        <v>869</v>
      </c>
      <c r="C1035">
        <v>67</v>
      </c>
      <c r="D1035">
        <v>3476</v>
      </c>
      <c r="E1035">
        <f>SUM(Details[[#This Row],[Actual_Cost]],Details[[#This Row],[Profit]])</f>
        <v>3543</v>
      </c>
      <c r="F1035">
        <v>4</v>
      </c>
      <c r="G1035">
        <f>PRODUCT(Details[[#This Row],[Selling_Cost]],Details[[#This Row],[Quantity]])</f>
        <v>14172</v>
      </c>
      <c r="H1035" t="s">
        <v>16</v>
      </c>
      <c r="I1035" t="s">
        <v>146</v>
      </c>
      <c r="J1035" t="s">
        <v>10</v>
      </c>
      <c r="K1035" t="s">
        <v>561</v>
      </c>
      <c r="L1035" t="s">
        <v>567</v>
      </c>
    </row>
    <row r="1036" spans="1:12" x14ac:dyDescent="0.3">
      <c r="A1036" t="s">
        <v>341</v>
      </c>
      <c r="B1036">
        <v>516</v>
      </c>
      <c r="C1036">
        <v>69</v>
      </c>
      <c r="D1036">
        <v>2064</v>
      </c>
      <c r="E1036">
        <f>SUM(Details[[#This Row],[Actual_Cost]],Details[[#This Row],[Profit]])</f>
        <v>2133</v>
      </c>
      <c r="F1036">
        <v>4</v>
      </c>
      <c r="G1036">
        <f>PRODUCT(Details[[#This Row],[Selling_Cost]],Details[[#This Row],[Quantity]])</f>
        <v>8532</v>
      </c>
      <c r="H1036" t="s">
        <v>16</v>
      </c>
      <c r="I1036" t="s">
        <v>17</v>
      </c>
      <c r="J1036" t="s">
        <v>18</v>
      </c>
      <c r="K1036" t="s">
        <v>605</v>
      </c>
      <c r="L1036" t="s">
        <v>624</v>
      </c>
    </row>
    <row r="1037" spans="1:12" x14ac:dyDescent="0.3">
      <c r="A1037" t="s">
        <v>279</v>
      </c>
      <c r="B1037">
        <v>502</v>
      </c>
      <c r="C1037">
        <v>84</v>
      </c>
      <c r="D1037">
        <v>2008</v>
      </c>
      <c r="E1037">
        <f>SUM(Details[[#This Row],[Actual_Cost]],Details[[#This Row],[Profit]])</f>
        <v>2092</v>
      </c>
      <c r="F1037">
        <v>4</v>
      </c>
      <c r="G1037">
        <f>PRODUCT(Details[[#This Row],[Selling_Cost]],Details[[#This Row],[Quantity]])</f>
        <v>8368</v>
      </c>
      <c r="H1037" t="s">
        <v>13</v>
      </c>
      <c r="I1037" t="s">
        <v>14</v>
      </c>
      <c r="J1037" t="s">
        <v>10</v>
      </c>
      <c r="K1037" t="s">
        <v>607</v>
      </c>
      <c r="L1037" t="s">
        <v>567</v>
      </c>
    </row>
    <row r="1038" spans="1:12" x14ac:dyDescent="0.3">
      <c r="A1038" t="s">
        <v>145</v>
      </c>
      <c r="B1038">
        <v>191</v>
      </c>
      <c r="C1038">
        <v>93</v>
      </c>
      <c r="D1038">
        <v>764</v>
      </c>
      <c r="E1038">
        <f>SUM(Details[[#This Row],[Actual_Cost]],Details[[#This Row],[Profit]])</f>
        <v>857</v>
      </c>
      <c r="F1038">
        <v>4</v>
      </c>
      <c r="G1038">
        <f>PRODUCT(Details[[#This Row],[Selling_Cost]],Details[[#This Row],[Quantity]])</f>
        <v>3428</v>
      </c>
      <c r="H1038" t="s">
        <v>8</v>
      </c>
      <c r="I1038" t="s">
        <v>61</v>
      </c>
      <c r="J1038" t="s">
        <v>18</v>
      </c>
      <c r="K1038" t="s">
        <v>607</v>
      </c>
      <c r="L1038" t="s">
        <v>550</v>
      </c>
    </row>
    <row r="1039" spans="1:12" x14ac:dyDescent="0.3">
      <c r="A1039" t="s">
        <v>412</v>
      </c>
      <c r="B1039">
        <v>597</v>
      </c>
      <c r="C1039">
        <v>93</v>
      </c>
      <c r="D1039">
        <v>2388</v>
      </c>
      <c r="E1039">
        <f>SUM(Details[[#This Row],[Actual_Cost]],Details[[#This Row],[Profit]])</f>
        <v>2481</v>
      </c>
      <c r="F1039">
        <v>4</v>
      </c>
      <c r="G1039">
        <f>PRODUCT(Details[[#This Row],[Selling_Cost]],Details[[#This Row],[Quantity]])</f>
        <v>9924</v>
      </c>
      <c r="H1039" t="s">
        <v>16</v>
      </c>
      <c r="I1039" t="s">
        <v>23</v>
      </c>
      <c r="J1039" t="s">
        <v>42</v>
      </c>
      <c r="K1039" t="s">
        <v>543</v>
      </c>
      <c r="L1039" t="s">
        <v>544</v>
      </c>
    </row>
    <row r="1040" spans="1:12" x14ac:dyDescent="0.3">
      <c r="A1040" t="s">
        <v>449</v>
      </c>
      <c r="B1040">
        <v>1183</v>
      </c>
      <c r="C1040">
        <v>106</v>
      </c>
      <c r="D1040">
        <v>4732</v>
      </c>
      <c r="E1040">
        <f>SUM(Details[[#This Row],[Actual_Cost]],Details[[#This Row],[Profit]])</f>
        <v>4838</v>
      </c>
      <c r="F1040">
        <v>4</v>
      </c>
      <c r="G1040">
        <f>PRODUCT(Details[[#This Row],[Selling_Cost]],Details[[#This Row],[Quantity]])</f>
        <v>19352</v>
      </c>
      <c r="H1040" t="s">
        <v>13</v>
      </c>
      <c r="I1040" t="s">
        <v>20</v>
      </c>
      <c r="J1040" t="s">
        <v>125</v>
      </c>
      <c r="K1040" t="s">
        <v>578</v>
      </c>
      <c r="L1040" t="s">
        <v>583</v>
      </c>
    </row>
    <row r="1041" spans="1:12" x14ac:dyDescent="0.3">
      <c r="A1041" t="s">
        <v>450</v>
      </c>
      <c r="B1041">
        <v>327</v>
      </c>
      <c r="C1041">
        <v>114</v>
      </c>
      <c r="D1041">
        <v>1308</v>
      </c>
      <c r="E1041">
        <f>SUM(Details[[#This Row],[Actual_Cost]],Details[[#This Row],[Profit]])</f>
        <v>1422</v>
      </c>
      <c r="F1041">
        <v>4</v>
      </c>
      <c r="G1041">
        <f>PRODUCT(Details[[#This Row],[Selling_Cost]],Details[[#This Row],[Quantity]])</f>
        <v>5688</v>
      </c>
      <c r="H1041" t="s">
        <v>8</v>
      </c>
      <c r="I1041" t="s">
        <v>41</v>
      </c>
      <c r="J1041" t="s">
        <v>10</v>
      </c>
      <c r="K1041" t="s">
        <v>552</v>
      </c>
      <c r="L1041" t="s">
        <v>614</v>
      </c>
    </row>
    <row r="1042" spans="1:12" x14ac:dyDescent="0.3">
      <c r="A1042" t="s">
        <v>379</v>
      </c>
      <c r="B1042">
        <v>935</v>
      </c>
      <c r="C1042">
        <v>114</v>
      </c>
      <c r="D1042">
        <v>3740</v>
      </c>
      <c r="E1042">
        <f>SUM(Details[[#This Row],[Actual_Cost]],Details[[#This Row],[Profit]])</f>
        <v>3854</v>
      </c>
      <c r="F1042">
        <v>4</v>
      </c>
      <c r="G1042">
        <f>PRODUCT(Details[[#This Row],[Selling_Cost]],Details[[#This Row],[Quantity]])</f>
        <v>15416</v>
      </c>
      <c r="H1042" t="s">
        <v>13</v>
      </c>
      <c r="I1042" t="s">
        <v>34</v>
      </c>
      <c r="J1042" t="s">
        <v>18</v>
      </c>
      <c r="K1042" t="s">
        <v>552</v>
      </c>
      <c r="L1042" t="s">
        <v>546</v>
      </c>
    </row>
    <row r="1043" spans="1:12" x14ac:dyDescent="0.3">
      <c r="A1043" t="s">
        <v>277</v>
      </c>
      <c r="B1043">
        <v>595</v>
      </c>
      <c r="C1043">
        <v>119</v>
      </c>
      <c r="D1043">
        <v>2380</v>
      </c>
      <c r="E1043">
        <f>SUM(Details[[#This Row],[Actual_Cost]],Details[[#This Row],[Profit]])</f>
        <v>2499</v>
      </c>
      <c r="F1043">
        <v>4</v>
      </c>
      <c r="G1043">
        <f>PRODUCT(Details[[#This Row],[Selling_Cost]],Details[[#This Row],[Quantity]])</f>
        <v>9996</v>
      </c>
      <c r="H1043" t="s">
        <v>16</v>
      </c>
      <c r="I1043" t="s">
        <v>17</v>
      </c>
      <c r="J1043" t="s">
        <v>10</v>
      </c>
      <c r="K1043" t="s">
        <v>587</v>
      </c>
      <c r="L1043" t="s">
        <v>546</v>
      </c>
    </row>
    <row r="1044" spans="1:12" x14ac:dyDescent="0.3">
      <c r="A1044" t="s">
        <v>258</v>
      </c>
      <c r="B1044">
        <v>487</v>
      </c>
      <c r="C1044">
        <v>143</v>
      </c>
      <c r="D1044">
        <v>1948</v>
      </c>
      <c r="E1044">
        <f>SUM(Details[[#This Row],[Actual_Cost]],Details[[#This Row],[Profit]])</f>
        <v>2091</v>
      </c>
      <c r="F1044">
        <v>4</v>
      </c>
      <c r="G1044">
        <f>PRODUCT(Details[[#This Row],[Selling_Cost]],Details[[#This Row],[Quantity]])</f>
        <v>8364</v>
      </c>
      <c r="H1044" t="s">
        <v>13</v>
      </c>
      <c r="I1044" t="s">
        <v>14</v>
      </c>
      <c r="J1044" t="s">
        <v>125</v>
      </c>
      <c r="K1044" t="s">
        <v>607</v>
      </c>
      <c r="L1044" t="s">
        <v>541</v>
      </c>
    </row>
    <row r="1045" spans="1:12" x14ac:dyDescent="0.3">
      <c r="A1045" t="s">
        <v>307</v>
      </c>
      <c r="B1045">
        <v>598</v>
      </c>
      <c r="C1045">
        <v>166</v>
      </c>
      <c r="D1045">
        <v>2392</v>
      </c>
      <c r="E1045">
        <f>SUM(Details[[#This Row],[Actual_Cost]],Details[[#This Row],[Profit]])</f>
        <v>2558</v>
      </c>
      <c r="F1045">
        <v>4</v>
      </c>
      <c r="G1045">
        <f>PRODUCT(Details[[#This Row],[Selling_Cost]],Details[[#This Row],[Quantity]])</f>
        <v>10232</v>
      </c>
      <c r="H1045" t="s">
        <v>16</v>
      </c>
      <c r="I1045" t="s">
        <v>17</v>
      </c>
      <c r="J1045" t="s">
        <v>18</v>
      </c>
      <c r="K1045" t="s">
        <v>552</v>
      </c>
      <c r="L1045" t="s">
        <v>567</v>
      </c>
    </row>
    <row r="1046" spans="1:12" x14ac:dyDescent="0.3">
      <c r="A1046" t="s">
        <v>451</v>
      </c>
      <c r="B1046">
        <v>462</v>
      </c>
      <c r="C1046">
        <v>169</v>
      </c>
      <c r="D1046">
        <v>1848</v>
      </c>
      <c r="E1046">
        <f>SUM(Details[[#This Row],[Actual_Cost]],Details[[#This Row],[Profit]])</f>
        <v>2017</v>
      </c>
      <c r="F1046">
        <v>4</v>
      </c>
      <c r="G1046">
        <f>PRODUCT(Details[[#This Row],[Selling_Cost]],Details[[#This Row],[Quantity]])</f>
        <v>8068</v>
      </c>
      <c r="H1046" t="s">
        <v>8</v>
      </c>
      <c r="I1046" t="s">
        <v>9</v>
      </c>
      <c r="J1046" t="s">
        <v>10</v>
      </c>
      <c r="K1046" t="s">
        <v>552</v>
      </c>
      <c r="L1046" t="s">
        <v>563</v>
      </c>
    </row>
    <row r="1047" spans="1:12" x14ac:dyDescent="0.3">
      <c r="A1047" t="s">
        <v>213</v>
      </c>
      <c r="B1047">
        <v>485</v>
      </c>
      <c r="C1047">
        <v>199</v>
      </c>
      <c r="D1047">
        <v>1940</v>
      </c>
      <c r="E1047">
        <f>SUM(Details[[#This Row],[Actual_Cost]],Details[[#This Row],[Profit]])</f>
        <v>2139</v>
      </c>
      <c r="F1047">
        <v>4</v>
      </c>
      <c r="G1047">
        <f>PRODUCT(Details[[#This Row],[Selling_Cost]],Details[[#This Row],[Quantity]])</f>
        <v>8556</v>
      </c>
      <c r="H1047" t="s">
        <v>8</v>
      </c>
      <c r="I1047" t="s">
        <v>9</v>
      </c>
      <c r="J1047" t="s">
        <v>125</v>
      </c>
      <c r="K1047" t="s">
        <v>661</v>
      </c>
      <c r="L1047" t="s">
        <v>567</v>
      </c>
    </row>
    <row r="1048" spans="1:12" x14ac:dyDescent="0.3">
      <c r="A1048" t="s">
        <v>311</v>
      </c>
      <c r="B1048">
        <v>1104</v>
      </c>
      <c r="C1048">
        <v>209</v>
      </c>
      <c r="D1048">
        <v>4416</v>
      </c>
      <c r="E1048">
        <f>SUM(Details[[#This Row],[Actual_Cost]],Details[[#This Row],[Profit]])</f>
        <v>4625</v>
      </c>
      <c r="F1048">
        <v>4</v>
      </c>
      <c r="G1048">
        <f>PRODUCT(Details[[#This Row],[Selling_Cost]],Details[[#This Row],[Quantity]])</f>
        <v>18500</v>
      </c>
      <c r="H1048" t="s">
        <v>8</v>
      </c>
      <c r="I1048" t="s">
        <v>41</v>
      </c>
      <c r="J1048" t="s">
        <v>18</v>
      </c>
      <c r="K1048" t="s">
        <v>548</v>
      </c>
      <c r="L1048" t="s">
        <v>541</v>
      </c>
    </row>
    <row r="1049" spans="1:12" x14ac:dyDescent="0.3">
      <c r="A1049" t="s">
        <v>175</v>
      </c>
      <c r="B1049">
        <v>593</v>
      </c>
      <c r="C1049">
        <v>213</v>
      </c>
      <c r="D1049">
        <v>2372</v>
      </c>
      <c r="E1049">
        <f>SUM(Details[[#This Row],[Actual_Cost]],Details[[#This Row],[Profit]])</f>
        <v>2585</v>
      </c>
      <c r="F1049">
        <v>4</v>
      </c>
      <c r="G1049">
        <f>PRODUCT(Details[[#This Row],[Selling_Cost]],Details[[#This Row],[Quantity]])</f>
        <v>10340</v>
      </c>
      <c r="H1049" t="s">
        <v>16</v>
      </c>
      <c r="I1049" t="s">
        <v>17</v>
      </c>
      <c r="J1049" t="s">
        <v>42</v>
      </c>
      <c r="K1049" t="s">
        <v>592</v>
      </c>
      <c r="L1049" t="s">
        <v>554</v>
      </c>
    </row>
    <row r="1050" spans="1:12" x14ac:dyDescent="0.3">
      <c r="A1050" t="s">
        <v>256</v>
      </c>
      <c r="B1050">
        <v>2244</v>
      </c>
      <c r="C1050">
        <v>247</v>
      </c>
      <c r="D1050">
        <v>8976</v>
      </c>
      <c r="E1050">
        <f>SUM(Details[[#This Row],[Actual_Cost]],Details[[#This Row],[Profit]])</f>
        <v>9223</v>
      </c>
      <c r="F1050">
        <v>4</v>
      </c>
      <c r="G1050">
        <f>PRODUCT(Details[[#This Row],[Selling_Cost]],Details[[#This Row],[Quantity]])</f>
        <v>36892</v>
      </c>
      <c r="H1050" t="s">
        <v>8</v>
      </c>
      <c r="I1050" t="s">
        <v>41</v>
      </c>
      <c r="J1050" t="s">
        <v>27</v>
      </c>
      <c r="K1050" t="s">
        <v>539</v>
      </c>
      <c r="L1050" t="s">
        <v>567</v>
      </c>
    </row>
    <row r="1051" spans="1:12" x14ac:dyDescent="0.3">
      <c r="A1051" t="s">
        <v>232</v>
      </c>
      <c r="B1051">
        <v>681</v>
      </c>
      <c r="C1051">
        <v>259</v>
      </c>
      <c r="D1051">
        <v>2724</v>
      </c>
      <c r="E1051">
        <f>SUM(Details[[#This Row],[Actual_Cost]],Details[[#This Row],[Profit]])</f>
        <v>2983</v>
      </c>
      <c r="F1051">
        <v>4</v>
      </c>
      <c r="G1051">
        <f>PRODUCT(Details[[#This Row],[Selling_Cost]],Details[[#This Row],[Quantity]])</f>
        <v>11932</v>
      </c>
      <c r="H1051" t="s">
        <v>16</v>
      </c>
      <c r="I1051" t="s">
        <v>23</v>
      </c>
      <c r="J1051" t="s">
        <v>10</v>
      </c>
      <c r="K1051" t="s">
        <v>552</v>
      </c>
      <c r="L1051" t="s">
        <v>546</v>
      </c>
    </row>
    <row r="1052" spans="1:12" x14ac:dyDescent="0.3">
      <c r="A1052" t="s">
        <v>144</v>
      </c>
      <c r="B1052">
        <v>1055</v>
      </c>
      <c r="C1052">
        <v>264</v>
      </c>
      <c r="D1052">
        <v>4220</v>
      </c>
      <c r="E1052">
        <f>SUM(Details[[#This Row],[Actual_Cost]],Details[[#This Row],[Profit]])</f>
        <v>4484</v>
      </c>
      <c r="F1052">
        <v>4</v>
      </c>
      <c r="G1052">
        <f>PRODUCT(Details[[#This Row],[Selling_Cost]],Details[[#This Row],[Quantity]])</f>
        <v>17936</v>
      </c>
      <c r="H1052" t="s">
        <v>13</v>
      </c>
      <c r="I1052" t="s">
        <v>20</v>
      </c>
      <c r="J1052" t="s">
        <v>125</v>
      </c>
      <c r="K1052" t="s">
        <v>548</v>
      </c>
      <c r="L1052" t="s">
        <v>614</v>
      </c>
    </row>
    <row r="1053" spans="1:12" x14ac:dyDescent="0.3">
      <c r="A1053" t="s">
        <v>155</v>
      </c>
      <c r="B1053">
        <v>976</v>
      </c>
      <c r="C1053">
        <v>293</v>
      </c>
      <c r="D1053">
        <v>3904</v>
      </c>
      <c r="E1053">
        <f>SUM(Details[[#This Row],[Actual_Cost]],Details[[#This Row],[Profit]])</f>
        <v>4197</v>
      </c>
      <c r="F1053">
        <v>4</v>
      </c>
      <c r="G1053">
        <f>PRODUCT(Details[[#This Row],[Selling_Cost]],Details[[#This Row],[Quantity]])</f>
        <v>16788</v>
      </c>
      <c r="H1053" t="s">
        <v>13</v>
      </c>
      <c r="I1053" t="s">
        <v>55</v>
      </c>
      <c r="J1053" t="s">
        <v>10</v>
      </c>
      <c r="K1053" t="s">
        <v>552</v>
      </c>
      <c r="L1053" t="s">
        <v>583</v>
      </c>
    </row>
    <row r="1054" spans="1:12" x14ac:dyDescent="0.3">
      <c r="A1054" t="s">
        <v>387</v>
      </c>
      <c r="B1054">
        <v>1657</v>
      </c>
      <c r="C1054">
        <v>460</v>
      </c>
      <c r="D1054">
        <v>6628</v>
      </c>
      <c r="E1054">
        <f>SUM(Details[[#This Row],[Actual_Cost]],Details[[#This Row],[Profit]])</f>
        <v>7088</v>
      </c>
      <c r="F1054">
        <v>4</v>
      </c>
      <c r="G1054">
        <f>PRODUCT(Details[[#This Row],[Selling_Cost]],Details[[#This Row],[Quantity]])</f>
        <v>28352</v>
      </c>
      <c r="H1054" t="s">
        <v>16</v>
      </c>
      <c r="I1054" t="s">
        <v>23</v>
      </c>
      <c r="J1054" t="s">
        <v>27</v>
      </c>
      <c r="K1054" t="s">
        <v>596</v>
      </c>
      <c r="L1054" t="s">
        <v>546</v>
      </c>
    </row>
    <row r="1055" spans="1:12" x14ac:dyDescent="0.3">
      <c r="A1055" t="s">
        <v>371</v>
      </c>
      <c r="B1055">
        <v>1514</v>
      </c>
      <c r="C1055">
        <v>742</v>
      </c>
      <c r="D1055">
        <v>6056</v>
      </c>
      <c r="E1055">
        <f>SUM(Details[[#This Row],[Actual_Cost]],Details[[#This Row],[Profit]])</f>
        <v>6798</v>
      </c>
      <c r="F1055">
        <v>4</v>
      </c>
      <c r="G1055">
        <f>PRODUCT(Details[[#This Row],[Selling_Cost]],Details[[#This Row],[Quantity]])</f>
        <v>27192</v>
      </c>
      <c r="H1055" t="s">
        <v>13</v>
      </c>
      <c r="I1055" t="s">
        <v>20</v>
      </c>
      <c r="J1055" t="s">
        <v>125</v>
      </c>
      <c r="K1055" t="s">
        <v>552</v>
      </c>
      <c r="L1055" t="s">
        <v>541</v>
      </c>
    </row>
    <row r="1056" spans="1:12" x14ac:dyDescent="0.3">
      <c r="A1056" t="s">
        <v>152</v>
      </c>
      <c r="B1056">
        <v>2617</v>
      </c>
      <c r="C1056">
        <v>1151</v>
      </c>
      <c r="D1056">
        <v>10468</v>
      </c>
      <c r="E1056">
        <f>SUM(Details[[#This Row],[Actual_Cost]],Details[[#This Row],[Profit]])</f>
        <v>11619</v>
      </c>
      <c r="F1056">
        <v>4</v>
      </c>
      <c r="G1056">
        <f>PRODUCT(Details[[#This Row],[Selling_Cost]],Details[[#This Row],[Quantity]])</f>
        <v>46476</v>
      </c>
      <c r="H1056" t="s">
        <v>13</v>
      </c>
      <c r="I1056" t="s">
        <v>14</v>
      </c>
      <c r="J1056" t="s">
        <v>27</v>
      </c>
      <c r="K1056" t="s">
        <v>548</v>
      </c>
      <c r="L1056" t="s">
        <v>565</v>
      </c>
    </row>
    <row r="1057" spans="1:12" x14ac:dyDescent="0.3">
      <c r="A1057" t="s">
        <v>221</v>
      </c>
      <c r="B1057">
        <v>1622</v>
      </c>
      <c r="C1057">
        <v>-624</v>
      </c>
      <c r="D1057">
        <v>8110</v>
      </c>
      <c r="E1057">
        <f>SUM(Details[[#This Row],[Actual_Cost]],Details[[#This Row],[Profit]])</f>
        <v>7486</v>
      </c>
      <c r="F1057">
        <v>5</v>
      </c>
      <c r="G1057">
        <f>PRODUCT(Details[[#This Row],[Selling_Cost]],Details[[#This Row],[Quantity]])</f>
        <v>37430</v>
      </c>
      <c r="H1057" t="s">
        <v>16</v>
      </c>
      <c r="I1057" t="s">
        <v>146</v>
      </c>
      <c r="J1057" t="s">
        <v>27</v>
      </c>
      <c r="K1057" t="s">
        <v>543</v>
      </c>
      <c r="L1057" t="s">
        <v>550</v>
      </c>
    </row>
    <row r="1058" spans="1:12" x14ac:dyDescent="0.3">
      <c r="A1058" t="s">
        <v>170</v>
      </c>
      <c r="B1058">
        <v>729</v>
      </c>
      <c r="C1058">
        <v>-492</v>
      </c>
      <c r="D1058">
        <v>3645</v>
      </c>
      <c r="E1058">
        <f>SUM(Details[[#This Row],[Actual_Cost]],Details[[#This Row],[Profit]])</f>
        <v>3153</v>
      </c>
      <c r="F1058">
        <v>5</v>
      </c>
      <c r="G1058">
        <f>PRODUCT(Details[[#This Row],[Selling_Cost]],Details[[#This Row],[Quantity]])</f>
        <v>15765</v>
      </c>
      <c r="H1058" t="s">
        <v>16</v>
      </c>
      <c r="I1058" t="s">
        <v>17</v>
      </c>
      <c r="J1058" t="s">
        <v>18</v>
      </c>
      <c r="K1058" t="s">
        <v>548</v>
      </c>
      <c r="L1058" t="s">
        <v>554</v>
      </c>
    </row>
    <row r="1059" spans="1:12" x14ac:dyDescent="0.3">
      <c r="A1059" t="s">
        <v>154</v>
      </c>
      <c r="B1059">
        <v>925</v>
      </c>
      <c r="C1059">
        <v>-447</v>
      </c>
      <c r="D1059">
        <v>4625</v>
      </c>
      <c r="E1059">
        <f>SUM(Details[[#This Row],[Actual_Cost]],Details[[#This Row],[Profit]])</f>
        <v>4178</v>
      </c>
      <c r="F1059">
        <v>5</v>
      </c>
      <c r="G1059">
        <f>PRODUCT(Details[[#This Row],[Selling_Cost]],Details[[#This Row],[Quantity]])</f>
        <v>20890</v>
      </c>
      <c r="H1059" t="s">
        <v>13</v>
      </c>
      <c r="I1059" t="s">
        <v>34</v>
      </c>
      <c r="J1059" t="s">
        <v>10</v>
      </c>
      <c r="K1059" t="s">
        <v>548</v>
      </c>
      <c r="L1059" t="s">
        <v>624</v>
      </c>
    </row>
    <row r="1060" spans="1:12" x14ac:dyDescent="0.3">
      <c r="A1060" t="s">
        <v>177</v>
      </c>
      <c r="B1060">
        <v>767</v>
      </c>
      <c r="C1060">
        <v>-353</v>
      </c>
      <c r="D1060">
        <v>3835</v>
      </c>
      <c r="E1060">
        <f>SUM(Details[[#This Row],[Actual_Cost]],Details[[#This Row],[Profit]])</f>
        <v>3482</v>
      </c>
      <c r="F1060">
        <v>5</v>
      </c>
      <c r="G1060">
        <f>PRODUCT(Details[[#This Row],[Selling_Cost]],Details[[#This Row],[Quantity]])</f>
        <v>17410</v>
      </c>
      <c r="H1060" t="s">
        <v>8</v>
      </c>
      <c r="I1060" t="s">
        <v>41</v>
      </c>
      <c r="J1060" t="s">
        <v>10</v>
      </c>
      <c r="K1060" t="s">
        <v>569</v>
      </c>
      <c r="L1060" t="s">
        <v>583</v>
      </c>
    </row>
    <row r="1061" spans="1:12" x14ac:dyDescent="0.3">
      <c r="A1061" t="s">
        <v>294</v>
      </c>
      <c r="B1061">
        <v>635</v>
      </c>
      <c r="C1061">
        <v>-349</v>
      </c>
      <c r="D1061">
        <v>3175</v>
      </c>
      <c r="E1061">
        <f>SUM(Details[[#This Row],[Actual_Cost]],Details[[#This Row],[Profit]])</f>
        <v>2826</v>
      </c>
      <c r="F1061">
        <v>5</v>
      </c>
      <c r="G1061">
        <f>PRODUCT(Details[[#This Row],[Selling_Cost]],Details[[#This Row],[Quantity]])</f>
        <v>14130</v>
      </c>
      <c r="H1061" t="s">
        <v>8</v>
      </c>
      <c r="I1061" t="s">
        <v>9</v>
      </c>
      <c r="J1061" t="s">
        <v>42</v>
      </c>
      <c r="K1061" t="s">
        <v>641</v>
      </c>
      <c r="L1061" t="s">
        <v>565</v>
      </c>
    </row>
    <row r="1062" spans="1:12" x14ac:dyDescent="0.3">
      <c r="A1062" t="s">
        <v>452</v>
      </c>
      <c r="B1062">
        <v>352</v>
      </c>
      <c r="C1062">
        <v>-345</v>
      </c>
      <c r="D1062">
        <v>1760</v>
      </c>
      <c r="E1062">
        <f>SUM(Details[[#This Row],[Actual_Cost]],Details[[#This Row],[Profit]])</f>
        <v>1415</v>
      </c>
      <c r="F1062">
        <v>5</v>
      </c>
      <c r="G1062">
        <f>PRODUCT(Details[[#This Row],[Selling_Cost]],Details[[#This Row],[Quantity]])</f>
        <v>7075</v>
      </c>
      <c r="H1062" t="s">
        <v>8</v>
      </c>
      <c r="I1062" t="s">
        <v>9</v>
      </c>
      <c r="J1062" t="s">
        <v>27</v>
      </c>
      <c r="K1062" t="s">
        <v>552</v>
      </c>
      <c r="L1062" t="s">
        <v>585</v>
      </c>
    </row>
    <row r="1063" spans="1:12" x14ac:dyDescent="0.3">
      <c r="A1063" t="s">
        <v>333</v>
      </c>
      <c r="B1063">
        <v>359</v>
      </c>
      <c r="C1063">
        <v>-338</v>
      </c>
      <c r="D1063">
        <v>1795</v>
      </c>
      <c r="E1063">
        <f>SUM(Details[[#This Row],[Actual_Cost]],Details[[#This Row],[Profit]])</f>
        <v>1457</v>
      </c>
      <c r="F1063">
        <v>5</v>
      </c>
      <c r="G1063">
        <f>PRODUCT(Details[[#This Row],[Selling_Cost]],Details[[#This Row],[Quantity]])</f>
        <v>7285</v>
      </c>
      <c r="H1063" t="s">
        <v>16</v>
      </c>
      <c r="I1063" t="s">
        <v>17</v>
      </c>
      <c r="J1063" t="s">
        <v>10</v>
      </c>
      <c r="K1063" t="s">
        <v>626</v>
      </c>
      <c r="L1063" t="s">
        <v>541</v>
      </c>
    </row>
    <row r="1064" spans="1:12" x14ac:dyDescent="0.3">
      <c r="A1064" t="s">
        <v>103</v>
      </c>
      <c r="B1064">
        <v>671</v>
      </c>
      <c r="C1064">
        <v>-309</v>
      </c>
      <c r="D1064">
        <v>3355</v>
      </c>
      <c r="E1064">
        <f>SUM(Details[[#This Row],[Actual_Cost]],Details[[#This Row],[Profit]])</f>
        <v>3046</v>
      </c>
      <c r="F1064">
        <v>5</v>
      </c>
      <c r="G1064">
        <f>PRODUCT(Details[[#This Row],[Selling_Cost]],Details[[#This Row],[Quantity]])</f>
        <v>15230</v>
      </c>
      <c r="H1064" t="s">
        <v>13</v>
      </c>
      <c r="I1064" t="s">
        <v>34</v>
      </c>
      <c r="J1064" t="s">
        <v>10</v>
      </c>
      <c r="K1064" t="s">
        <v>610</v>
      </c>
      <c r="L1064" t="s">
        <v>541</v>
      </c>
    </row>
    <row r="1065" spans="1:12" x14ac:dyDescent="0.3">
      <c r="A1065" t="s">
        <v>221</v>
      </c>
      <c r="B1065">
        <v>850</v>
      </c>
      <c r="C1065">
        <v>-289</v>
      </c>
      <c r="D1065">
        <v>4250</v>
      </c>
      <c r="E1065">
        <f>SUM(Details[[#This Row],[Actual_Cost]],Details[[#This Row],[Profit]])</f>
        <v>3961</v>
      </c>
      <c r="F1065">
        <v>5</v>
      </c>
      <c r="G1065">
        <f>PRODUCT(Details[[#This Row],[Selling_Cost]],Details[[#This Row],[Quantity]])</f>
        <v>19805</v>
      </c>
      <c r="H1065" t="s">
        <v>13</v>
      </c>
      <c r="I1065" t="s">
        <v>34</v>
      </c>
      <c r="J1065" t="s">
        <v>10</v>
      </c>
      <c r="K1065" t="s">
        <v>543</v>
      </c>
      <c r="L1065" t="s">
        <v>550</v>
      </c>
    </row>
    <row r="1066" spans="1:12" x14ac:dyDescent="0.3">
      <c r="A1066" t="s">
        <v>152</v>
      </c>
      <c r="B1066">
        <v>424</v>
      </c>
      <c r="C1066">
        <v>-272</v>
      </c>
      <c r="D1066">
        <v>2120</v>
      </c>
      <c r="E1066">
        <f>SUM(Details[[#This Row],[Actual_Cost]],Details[[#This Row],[Profit]])</f>
        <v>1848</v>
      </c>
      <c r="F1066">
        <v>5</v>
      </c>
      <c r="G1066">
        <f>PRODUCT(Details[[#This Row],[Selling_Cost]],Details[[#This Row],[Quantity]])</f>
        <v>9240</v>
      </c>
      <c r="H1066" t="s">
        <v>13</v>
      </c>
      <c r="I1066" t="s">
        <v>14</v>
      </c>
      <c r="J1066" t="s">
        <v>10</v>
      </c>
      <c r="K1066" t="s">
        <v>548</v>
      </c>
      <c r="L1066" t="s">
        <v>565</v>
      </c>
    </row>
    <row r="1067" spans="1:12" x14ac:dyDescent="0.3">
      <c r="A1067" t="s">
        <v>453</v>
      </c>
      <c r="B1067">
        <v>305</v>
      </c>
      <c r="C1067">
        <v>-270</v>
      </c>
      <c r="D1067">
        <v>1525</v>
      </c>
      <c r="E1067">
        <f>SUM(Details[[#This Row],[Actual_Cost]],Details[[#This Row],[Profit]])</f>
        <v>1255</v>
      </c>
      <c r="F1067">
        <v>5</v>
      </c>
      <c r="G1067">
        <f>PRODUCT(Details[[#This Row],[Selling_Cost]],Details[[#This Row],[Quantity]])</f>
        <v>6275</v>
      </c>
      <c r="H1067" t="s">
        <v>13</v>
      </c>
      <c r="I1067" t="s">
        <v>34</v>
      </c>
      <c r="J1067" t="s">
        <v>42</v>
      </c>
      <c r="K1067" t="s">
        <v>596</v>
      </c>
      <c r="L1067" t="s">
        <v>565</v>
      </c>
    </row>
    <row r="1068" spans="1:12" x14ac:dyDescent="0.3">
      <c r="A1068" t="s">
        <v>139</v>
      </c>
      <c r="B1068">
        <v>550</v>
      </c>
      <c r="C1068">
        <v>-242</v>
      </c>
      <c r="D1068">
        <v>2750</v>
      </c>
      <c r="E1068">
        <f>SUM(Details[[#This Row],[Actual_Cost]],Details[[#This Row],[Profit]])</f>
        <v>2508</v>
      </c>
      <c r="F1068">
        <v>5</v>
      </c>
      <c r="G1068">
        <f>PRODUCT(Details[[#This Row],[Selling_Cost]],Details[[#This Row],[Quantity]])</f>
        <v>12540</v>
      </c>
      <c r="H1068" t="s">
        <v>16</v>
      </c>
      <c r="I1068" t="s">
        <v>32</v>
      </c>
      <c r="J1068" t="s">
        <v>18</v>
      </c>
      <c r="K1068" t="s">
        <v>552</v>
      </c>
      <c r="L1068" t="s">
        <v>567</v>
      </c>
    </row>
    <row r="1069" spans="1:12" x14ac:dyDescent="0.3">
      <c r="A1069" t="s">
        <v>154</v>
      </c>
      <c r="B1069">
        <v>512</v>
      </c>
      <c r="C1069">
        <v>-225</v>
      </c>
      <c r="D1069">
        <v>2560</v>
      </c>
      <c r="E1069">
        <f>SUM(Details[[#This Row],[Actual_Cost]],Details[[#This Row],[Profit]])</f>
        <v>2335</v>
      </c>
      <c r="F1069">
        <v>5</v>
      </c>
      <c r="G1069">
        <f>PRODUCT(Details[[#This Row],[Selling_Cost]],Details[[#This Row],[Quantity]])</f>
        <v>11675</v>
      </c>
      <c r="H1069" t="s">
        <v>8</v>
      </c>
      <c r="I1069" t="s">
        <v>9</v>
      </c>
      <c r="J1069" t="s">
        <v>10</v>
      </c>
      <c r="K1069" t="s">
        <v>548</v>
      </c>
      <c r="L1069" t="s">
        <v>624</v>
      </c>
    </row>
    <row r="1070" spans="1:12" x14ac:dyDescent="0.3">
      <c r="A1070" t="s">
        <v>108</v>
      </c>
      <c r="B1070">
        <v>387</v>
      </c>
      <c r="C1070">
        <v>-213</v>
      </c>
      <c r="D1070">
        <v>1935</v>
      </c>
      <c r="E1070">
        <f>SUM(Details[[#This Row],[Actual_Cost]],Details[[#This Row],[Profit]])</f>
        <v>1722</v>
      </c>
      <c r="F1070">
        <v>5</v>
      </c>
      <c r="G1070">
        <f>PRODUCT(Details[[#This Row],[Selling_Cost]],Details[[#This Row],[Quantity]])</f>
        <v>8610</v>
      </c>
      <c r="H1070" t="s">
        <v>8</v>
      </c>
      <c r="I1070" t="s">
        <v>9</v>
      </c>
      <c r="J1070" t="s">
        <v>18</v>
      </c>
      <c r="K1070" t="s">
        <v>548</v>
      </c>
      <c r="L1070" t="s">
        <v>585</v>
      </c>
    </row>
    <row r="1071" spans="1:12" x14ac:dyDescent="0.3">
      <c r="A1071" t="s">
        <v>103</v>
      </c>
      <c r="B1071">
        <v>663</v>
      </c>
      <c r="C1071">
        <v>-212</v>
      </c>
      <c r="D1071">
        <v>3315</v>
      </c>
      <c r="E1071">
        <f>SUM(Details[[#This Row],[Actual_Cost]],Details[[#This Row],[Profit]])</f>
        <v>3103</v>
      </c>
      <c r="F1071">
        <v>5</v>
      </c>
      <c r="G1071">
        <f>PRODUCT(Details[[#This Row],[Selling_Cost]],Details[[#This Row],[Quantity]])</f>
        <v>15515</v>
      </c>
      <c r="H1071" t="s">
        <v>13</v>
      </c>
      <c r="I1071" t="s">
        <v>20</v>
      </c>
      <c r="J1071" t="s">
        <v>18</v>
      </c>
      <c r="K1071" t="s">
        <v>610</v>
      </c>
      <c r="L1071" t="s">
        <v>541</v>
      </c>
    </row>
    <row r="1072" spans="1:12" x14ac:dyDescent="0.3">
      <c r="A1072" t="s">
        <v>454</v>
      </c>
      <c r="B1072">
        <v>322</v>
      </c>
      <c r="C1072">
        <v>-193</v>
      </c>
      <c r="D1072">
        <v>1610</v>
      </c>
      <c r="E1072">
        <f>SUM(Details[[#This Row],[Actual_Cost]],Details[[#This Row],[Profit]])</f>
        <v>1417</v>
      </c>
      <c r="F1072">
        <v>5</v>
      </c>
      <c r="G1072">
        <f>PRODUCT(Details[[#This Row],[Selling_Cost]],Details[[#This Row],[Quantity]])</f>
        <v>7085</v>
      </c>
      <c r="H1072" t="s">
        <v>13</v>
      </c>
      <c r="I1072" t="s">
        <v>20</v>
      </c>
      <c r="J1072" t="s">
        <v>18</v>
      </c>
      <c r="K1072" t="s">
        <v>661</v>
      </c>
      <c r="L1072" t="s">
        <v>554</v>
      </c>
    </row>
    <row r="1073" spans="1:12" x14ac:dyDescent="0.3">
      <c r="A1073" t="s">
        <v>53</v>
      </c>
      <c r="B1073">
        <v>239</v>
      </c>
      <c r="C1073">
        <v>-162</v>
      </c>
      <c r="D1073">
        <v>1195</v>
      </c>
      <c r="E1073">
        <f>SUM(Details[[#This Row],[Actual_Cost]],Details[[#This Row],[Profit]])</f>
        <v>1033</v>
      </c>
      <c r="F1073">
        <v>5</v>
      </c>
      <c r="G1073">
        <f>PRODUCT(Details[[#This Row],[Selling_Cost]],Details[[#This Row],[Quantity]])</f>
        <v>5165</v>
      </c>
      <c r="H1073" t="s">
        <v>16</v>
      </c>
      <c r="I1073" t="s">
        <v>23</v>
      </c>
      <c r="J1073" t="s">
        <v>10</v>
      </c>
      <c r="K1073" t="s">
        <v>548</v>
      </c>
      <c r="L1073" t="s">
        <v>583</v>
      </c>
    </row>
    <row r="1074" spans="1:12" x14ac:dyDescent="0.3">
      <c r="A1074" t="s">
        <v>72</v>
      </c>
      <c r="B1074">
        <v>143</v>
      </c>
      <c r="C1074">
        <v>-124</v>
      </c>
      <c r="D1074">
        <v>715</v>
      </c>
      <c r="E1074">
        <f>SUM(Details[[#This Row],[Actual_Cost]],Details[[#This Row],[Profit]])</f>
        <v>591</v>
      </c>
      <c r="F1074">
        <v>5</v>
      </c>
      <c r="G1074">
        <f>PRODUCT(Details[[#This Row],[Selling_Cost]],Details[[#This Row],[Quantity]])</f>
        <v>2955</v>
      </c>
      <c r="H1074" t="s">
        <v>8</v>
      </c>
      <c r="I1074" t="s">
        <v>9</v>
      </c>
      <c r="J1074" t="s">
        <v>18</v>
      </c>
      <c r="K1074" t="s">
        <v>569</v>
      </c>
      <c r="L1074" t="s">
        <v>624</v>
      </c>
    </row>
    <row r="1075" spans="1:12" x14ac:dyDescent="0.3">
      <c r="A1075" t="s">
        <v>56</v>
      </c>
      <c r="B1075">
        <v>143</v>
      </c>
      <c r="C1075">
        <v>-124</v>
      </c>
      <c r="D1075">
        <v>715</v>
      </c>
      <c r="E1075">
        <f>SUM(Details[[#This Row],[Actual_Cost]],Details[[#This Row],[Profit]])</f>
        <v>591</v>
      </c>
      <c r="F1075">
        <v>5</v>
      </c>
      <c r="G1075">
        <f>PRODUCT(Details[[#This Row],[Selling_Cost]],Details[[#This Row],[Quantity]])</f>
        <v>2955</v>
      </c>
      <c r="H1075" t="s">
        <v>8</v>
      </c>
      <c r="I1075" t="s">
        <v>9</v>
      </c>
      <c r="J1075" t="s">
        <v>18</v>
      </c>
      <c r="K1075" t="s">
        <v>596</v>
      </c>
      <c r="L1075" t="s">
        <v>554</v>
      </c>
    </row>
    <row r="1076" spans="1:12" x14ac:dyDescent="0.3">
      <c r="A1076" t="s">
        <v>455</v>
      </c>
      <c r="B1076">
        <v>244</v>
      </c>
      <c r="C1076">
        <v>-122</v>
      </c>
      <c r="D1076">
        <v>1220</v>
      </c>
      <c r="E1076">
        <f>SUM(Details[[#This Row],[Actual_Cost]],Details[[#This Row],[Profit]])</f>
        <v>1098</v>
      </c>
      <c r="F1076">
        <v>5</v>
      </c>
      <c r="G1076">
        <f>PRODUCT(Details[[#This Row],[Selling_Cost]],Details[[#This Row],[Quantity]])</f>
        <v>5490</v>
      </c>
      <c r="H1076" t="s">
        <v>16</v>
      </c>
      <c r="I1076" t="s">
        <v>32</v>
      </c>
      <c r="J1076" t="s">
        <v>10</v>
      </c>
      <c r="K1076" t="s">
        <v>552</v>
      </c>
      <c r="L1076" t="s">
        <v>550</v>
      </c>
    </row>
    <row r="1077" spans="1:12" x14ac:dyDescent="0.3">
      <c r="A1077" t="s">
        <v>131</v>
      </c>
      <c r="B1077">
        <v>195</v>
      </c>
      <c r="C1077">
        <v>-117</v>
      </c>
      <c r="D1077">
        <v>975</v>
      </c>
      <c r="E1077">
        <f>SUM(Details[[#This Row],[Actual_Cost]],Details[[#This Row],[Profit]])</f>
        <v>858</v>
      </c>
      <c r="F1077">
        <v>5</v>
      </c>
      <c r="G1077">
        <f>PRODUCT(Details[[#This Row],[Selling_Cost]],Details[[#This Row],[Quantity]])</f>
        <v>4290</v>
      </c>
      <c r="H1077" t="s">
        <v>13</v>
      </c>
      <c r="I1077" t="s">
        <v>14</v>
      </c>
      <c r="J1077" t="s">
        <v>10</v>
      </c>
      <c r="K1077" t="s">
        <v>596</v>
      </c>
      <c r="L1077" t="s">
        <v>624</v>
      </c>
    </row>
    <row r="1078" spans="1:12" x14ac:dyDescent="0.3">
      <c r="A1078" t="s">
        <v>186</v>
      </c>
      <c r="B1078">
        <v>47</v>
      </c>
      <c r="C1078">
        <v>-114</v>
      </c>
      <c r="D1078">
        <v>235</v>
      </c>
      <c r="E1078">
        <f>SUM(Details[[#This Row],[Actual_Cost]],Details[[#This Row],[Profit]])</f>
        <v>121</v>
      </c>
      <c r="F1078">
        <v>5</v>
      </c>
      <c r="G1078">
        <f>PRODUCT(Details[[#This Row],[Selling_Cost]],Details[[#This Row],[Quantity]])</f>
        <v>605</v>
      </c>
      <c r="H1078" t="s">
        <v>16</v>
      </c>
      <c r="I1078" t="s">
        <v>32</v>
      </c>
      <c r="J1078" t="s">
        <v>10</v>
      </c>
      <c r="K1078" t="s">
        <v>539</v>
      </c>
      <c r="L1078" t="s">
        <v>554</v>
      </c>
    </row>
    <row r="1079" spans="1:12" x14ac:dyDescent="0.3">
      <c r="A1079" t="s">
        <v>171</v>
      </c>
      <c r="B1079">
        <v>145</v>
      </c>
      <c r="C1079">
        <v>-104</v>
      </c>
      <c r="D1079">
        <v>725</v>
      </c>
      <c r="E1079">
        <f>SUM(Details[[#This Row],[Actual_Cost]],Details[[#This Row],[Profit]])</f>
        <v>621</v>
      </c>
      <c r="F1079">
        <v>5</v>
      </c>
      <c r="G1079">
        <f>PRODUCT(Details[[#This Row],[Selling_Cost]],Details[[#This Row],[Quantity]])</f>
        <v>3105</v>
      </c>
      <c r="H1079" t="s">
        <v>16</v>
      </c>
      <c r="I1079" t="s">
        <v>23</v>
      </c>
      <c r="J1079" t="s">
        <v>18</v>
      </c>
      <c r="K1079" t="s">
        <v>641</v>
      </c>
      <c r="L1079" t="s">
        <v>624</v>
      </c>
    </row>
    <row r="1080" spans="1:12" x14ac:dyDescent="0.3">
      <c r="A1080" t="s">
        <v>314</v>
      </c>
      <c r="B1080">
        <v>600</v>
      </c>
      <c r="C1080">
        <v>-102</v>
      </c>
      <c r="D1080">
        <v>3000</v>
      </c>
      <c r="E1080">
        <f>SUM(Details[[#This Row],[Actual_Cost]],Details[[#This Row],[Profit]])</f>
        <v>2898</v>
      </c>
      <c r="F1080">
        <v>5</v>
      </c>
      <c r="G1080">
        <f>PRODUCT(Details[[#This Row],[Selling_Cost]],Details[[#This Row],[Quantity]])</f>
        <v>14490</v>
      </c>
      <c r="H1080" t="s">
        <v>13</v>
      </c>
      <c r="I1080" t="s">
        <v>34</v>
      </c>
      <c r="J1080" t="s">
        <v>42</v>
      </c>
      <c r="K1080" t="s">
        <v>632</v>
      </c>
      <c r="L1080" t="s">
        <v>541</v>
      </c>
    </row>
    <row r="1081" spans="1:12" x14ac:dyDescent="0.3">
      <c r="A1081" t="s">
        <v>196</v>
      </c>
      <c r="B1081">
        <v>709</v>
      </c>
      <c r="C1081">
        <v>-100</v>
      </c>
      <c r="D1081">
        <v>3545</v>
      </c>
      <c r="E1081">
        <f>SUM(Details[[#This Row],[Actual_Cost]],Details[[#This Row],[Profit]])</f>
        <v>3445</v>
      </c>
      <c r="F1081">
        <v>5</v>
      </c>
      <c r="G1081">
        <f>PRODUCT(Details[[#This Row],[Selling_Cost]],Details[[#This Row],[Quantity]])</f>
        <v>17225</v>
      </c>
      <c r="H1081" t="s">
        <v>13</v>
      </c>
      <c r="I1081" t="s">
        <v>14</v>
      </c>
      <c r="J1081" t="s">
        <v>10</v>
      </c>
      <c r="K1081" t="s">
        <v>552</v>
      </c>
      <c r="L1081" t="s">
        <v>614</v>
      </c>
    </row>
    <row r="1082" spans="1:12" x14ac:dyDescent="0.3">
      <c r="A1082" t="s">
        <v>277</v>
      </c>
      <c r="B1082">
        <v>351</v>
      </c>
      <c r="C1082">
        <v>-94</v>
      </c>
      <c r="D1082">
        <v>1755</v>
      </c>
      <c r="E1082">
        <f>SUM(Details[[#This Row],[Actual_Cost]],Details[[#This Row],[Profit]])</f>
        <v>1661</v>
      </c>
      <c r="F1082">
        <v>5</v>
      </c>
      <c r="G1082">
        <f>PRODUCT(Details[[#This Row],[Selling_Cost]],Details[[#This Row],[Quantity]])</f>
        <v>8305</v>
      </c>
      <c r="H1082" t="s">
        <v>13</v>
      </c>
      <c r="I1082" t="s">
        <v>34</v>
      </c>
      <c r="J1082" t="s">
        <v>10</v>
      </c>
      <c r="K1082" t="s">
        <v>587</v>
      </c>
      <c r="L1082" t="s">
        <v>546</v>
      </c>
    </row>
    <row r="1083" spans="1:12" x14ac:dyDescent="0.3">
      <c r="A1083" t="s">
        <v>64</v>
      </c>
      <c r="B1083">
        <v>87</v>
      </c>
      <c r="C1083">
        <v>-83</v>
      </c>
      <c r="D1083">
        <v>435</v>
      </c>
      <c r="E1083">
        <f>SUM(Details[[#This Row],[Actual_Cost]],Details[[#This Row],[Profit]])</f>
        <v>352</v>
      </c>
      <c r="F1083">
        <v>5</v>
      </c>
      <c r="G1083">
        <f>PRODUCT(Details[[#This Row],[Selling_Cost]],Details[[#This Row],[Quantity]])</f>
        <v>1760</v>
      </c>
      <c r="H1083" t="s">
        <v>8</v>
      </c>
      <c r="I1083" t="s">
        <v>44</v>
      </c>
      <c r="J1083" t="s">
        <v>10</v>
      </c>
      <c r="K1083" t="s">
        <v>626</v>
      </c>
      <c r="L1083" t="s">
        <v>585</v>
      </c>
    </row>
    <row r="1084" spans="1:12" x14ac:dyDescent="0.3">
      <c r="A1084" t="s">
        <v>355</v>
      </c>
      <c r="B1084">
        <v>132</v>
      </c>
      <c r="C1084">
        <v>-79</v>
      </c>
      <c r="D1084">
        <v>660</v>
      </c>
      <c r="E1084">
        <f>SUM(Details[[#This Row],[Actual_Cost]],Details[[#This Row],[Profit]])</f>
        <v>581</v>
      </c>
      <c r="F1084">
        <v>5</v>
      </c>
      <c r="G1084">
        <f>PRODUCT(Details[[#This Row],[Selling_Cost]],Details[[#This Row],[Quantity]])</f>
        <v>2905</v>
      </c>
      <c r="H1084" t="s">
        <v>16</v>
      </c>
      <c r="I1084" t="s">
        <v>32</v>
      </c>
      <c r="J1084" t="s">
        <v>10</v>
      </c>
      <c r="K1084" t="s">
        <v>569</v>
      </c>
      <c r="L1084" t="s">
        <v>554</v>
      </c>
    </row>
    <row r="1085" spans="1:12" x14ac:dyDescent="0.3">
      <c r="A1085" t="s">
        <v>208</v>
      </c>
      <c r="B1085">
        <v>129</v>
      </c>
      <c r="C1085">
        <v>-75</v>
      </c>
      <c r="D1085">
        <v>645</v>
      </c>
      <c r="E1085">
        <f>SUM(Details[[#This Row],[Actual_Cost]],Details[[#This Row],[Profit]])</f>
        <v>570</v>
      </c>
      <c r="F1085">
        <v>5</v>
      </c>
      <c r="G1085">
        <f>PRODUCT(Details[[#This Row],[Selling_Cost]],Details[[#This Row],[Quantity]])</f>
        <v>2850</v>
      </c>
      <c r="H1085" t="s">
        <v>8</v>
      </c>
      <c r="I1085" t="s">
        <v>61</v>
      </c>
      <c r="J1085" t="s">
        <v>42</v>
      </c>
      <c r="K1085" t="s">
        <v>548</v>
      </c>
      <c r="L1085" t="s">
        <v>585</v>
      </c>
    </row>
    <row r="1086" spans="1:12" x14ac:dyDescent="0.3">
      <c r="A1086" t="s">
        <v>19</v>
      </c>
      <c r="B1086">
        <v>183</v>
      </c>
      <c r="C1086">
        <v>-66</v>
      </c>
      <c r="D1086">
        <v>915</v>
      </c>
      <c r="E1086">
        <f>SUM(Details[[#This Row],[Actual_Cost]],Details[[#This Row],[Profit]])</f>
        <v>849</v>
      </c>
      <c r="F1086">
        <v>5</v>
      </c>
      <c r="G1086">
        <f>PRODUCT(Details[[#This Row],[Selling_Cost]],Details[[#This Row],[Quantity]])</f>
        <v>4245</v>
      </c>
      <c r="H1086" t="s">
        <v>13</v>
      </c>
      <c r="I1086" t="s">
        <v>14</v>
      </c>
      <c r="J1086" t="s">
        <v>18</v>
      </c>
      <c r="K1086" t="s">
        <v>552</v>
      </c>
      <c r="L1086" t="s">
        <v>624</v>
      </c>
    </row>
    <row r="1087" spans="1:12" x14ac:dyDescent="0.3">
      <c r="A1087" t="s">
        <v>190</v>
      </c>
      <c r="B1087">
        <v>70</v>
      </c>
      <c r="C1087">
        <v>-64</v>
      </c>
      <c r="D1087">
        <v>350</v>
      </c>
      <c r="E1087">
        <f>SUM(Details[[#This Row],[Actual_Cost]],Details[[#This Row],[Profit]])</f>
        <v>286</v>
      </c>
      <c r="F1087">
        <v>5</v>
      </c>
      <c r="G1087">
        <f>PRODUCT(Details[[#This Row],[Selling_Cost]],Details[[#This Row],[Quantity]])</f>
        <v>1430</v>
      </c>
      <c r="H1087" t="s">
        <v>8</v>
      </c>
      <c r="I1087" t="s">
        <v>29</v>
      </c>
      <c r="J1087" t="s">
        <v>18</v>
      </c>
      <c r="K1087" t="s">
        <v>569</v>
      </c>
      <c r="L1087" t="s">
        <v>563</v>
      </c>
    </row>
    <row r="1088" spans="1:12" x14ac:dyDescent="0.3">
      <c r="A1088" t="s">
        <v>25</v>
      </c>
      <c r="B1088">
        <v>1355</v>
      </c>
      <c r="C1088">
        <v>-60</v>
      </c>
      <c r="D1088">
        <v>6775</v>
      </c>
      <c r="E1088">
        <f>SUM(Details[[#This Row],[Actual_Cost]],Details[[#This Row],[Profit]])</f>
        <v>6715</v>
      </c>
      <c r="F1088">
        <v>5</v>
      </c>
      <c r="G1088">
        <f>PRODUCT(Details[[#This Row],[Selling_Cost]],Details[[#This Row],[Quantity]])</f>
        <v>33575</v>
      </c>
      <c r="H1088" t="s">
        <v>8</v>
      </c>
      <c r="I1088" t="s">
        <v>41</v>
      </c>
      <c r="J1088" t="s">
        <v>10</v>
      </c>
      <c r="K1088" t="s">
        <v>552</v>
      </c>
      <c r="L1088" t="s">
        <v>565</v>
      </c>
    </row>
    <row r="1089" spans="1:12" x14ac:dyDescent="0.3">
      <c r="A1089" t="s">
        <v>186</v>
      </c>
      <c r="B1089">
        <v>62</v>
      </c>
      <c r="C1089">
        <v>-56</v>
      </c>
      <c r="D1089">
        <v>310</v>
      </c>
      <c r="E1089">
        <f>SUM(Details[[#This Row],[Actual_Cost]],Details[[#This Row],[Profit]])</f>
        <v>254</v>
      </c>
      <c r="F1089">
        <v>5</v>
      </c>
      <c r="G1089">
        <f>PRODUCT(Details[[#This Row],[Selling_Cost]],Details[[#This Row],[Quantity]])</f>
        <v>1270</v>
      </c>
      <c r="H1089" t="s">
        <v>8</v>
      </c>
      <c r="I1089" t="s">
        <v>44</v>
      </c>
      <c r="J1089" t="s">
        <v>10</v>
      </c>
      <c r="K1089" t="s">
        <v>539</v>
      </c>
      <c r="L1089" t="s">
        <v>554</v>
      </c>
    </row>
    <row r="1090" spans="1:12" x14ac:dyDescent="0.3">
      <c r="A1090" t="s">
        <v>358</v>
      </c>
      <c r="B1090">
        <v>116</v>
      </c>
      <c r="C1090">
        <v>-56</v>
      </c>
      <c r="D1090">
        <v>580</v>
      </c>
      <c r="E1090">
        <f>SUM(Details[[#This Row],[Actual_Cost]],Details[[#This Row],[Profit]])</f>
        <v>524</v>
      </c>
      <c r="F1090">
        <v>5</v>
      </c>
      <c r="G1090">
        <f>PRODUCT(Details[[#This Row],[Selling_Cost]],Details[[#This Row],[Quantity]])</f>
        <v>2620</v>
      </c>
      <c r="H1090" t="s">
        <v>8</v>
      </c>
      <c r="I1090" t="s">
        <v>29</v>
      </c>
      <c r="J1090" t="s">
        <v>27</v>
      </c>
      <c r="K1090" t="s">
        <v>661</v>
      </c>
      <c r="L1090" t="s">
        <v>565</v>
      </c>
    </row>
    <row r="1091" spans="1:12" x14ac:dyDescent="0.3">
      <c r="A1091" t="s">
        <v>147</v>
      </c>
      <c r="B1091">
        <v>1263</v>
      </c>
      <c r="C1091">
        <v>-56</v>
      </c>
      <c r="D1091">
        <v>6315</v>
      </c>
      <c r="E1091">
        <f>SUM(Details[[#This Row],[Actual_Cost]],Details[[#This Row],[Profit]])</f>
        <v>6259</v>
      </c>
      <c r="F1091">
        <v>5</v>
      </c>
      <c r="G1091">
        <f>PRODUCT(Details[[#This Row],[Selling_Cost]],Details[[#This Row],[Quantity]])</f>
        <v>31295</v>
      </c>
      <c r="H1091" t="s">
        <v>8</v>
      </c>
      <c r="I1091" t="s">
        <v>41</v>
      </c>
      <c r="J1091" t="s">
        <v>125</v>
      </c>
      <c r="K1091" t="s">
        <v>607</v>
      </c>
      <c r="L1091" t="s">
        <v>585</v>
      </c>
    </row>
    <row r="1092" spans="1:12" x14ac:dyDescent="0.3">
      <c r="A1092" t="s">
        <v>205</v>
      </c>
      <c r="B1092">
        <v>68</v>
      </c>
      <c r="C1092">
        <v>-55</v>
      </c>
      <c r="D1092">
        <v>340</v>
      </c>
      <c r="E1092">
        <f>SUM(Details[[#This Row],[Actual_Cost]],Details[[#This Row],[Profit]])</f>
        <v>285</v>
      </c>
      <c r="F1092">
        <v>5</v>
      </c>
      <c r="G1092">
        <f>PRODUCT(Details[[#This Row],[Selling_Cost]],Details[[#This Row],[Quantity]])</f>
        <v>1425</v>
      </c>
      <c r="H1092" t="s">
        <v>13</v>
      </c>
      <c r="I1092" t="s">
        <v>55</v>
      </c>
      <c r="J1092" t="s">
        <v>18</v>
      </c>
      <c r="K1092" t="s">
        <v>578</v>
      </c>
      <c r="L1092" t="s">
        <v>565</v>
      </c>
    </row>
    <row r="1093" spans="1:12" x14ac:dyDescent="0.3">
      <c r="A1093" t="s">
        <v>224</v>
      </c>
      <c r="B1093">
        <v>135</v>
      </c>
      <c r="C1093">
        <v>-54</v>
      </c>
      <c r="D1093">
        <v>675</v>
      </c>
      <c r="E1093">
        <f>SUM(Details[[#This Row],[Actual_Cost]],Details[[#This Row],[Profit]])</f>
        <v>621</v>
      </c>
      <c r="F1093">
        <v>5</v>
      </c>
      <c r="G1093">
        <f>PRODUCT(Details[[#This Row],[Selling_Cost]],Details[[#This Row],[Quantity]])</f>
        <v>3105</v>
      </c>
      <c r="H1093" t="s">
        <v>8</v>
      </c>
      <c r="I1093" t="s">
        <v>44</v>
      </c>
      <c r="J1093" t="s">
        <v>10</v>
      </c>
      <c r="K1093" t="s">
        <v>596</v>
      </c>
      <c r="L1093" t="s">
        <v>567</v>
      </c>
    </row>
    <row r="1094" spans="1:12" x14ac:dyDescent="0.3">
      <c r="A1094" t="s">
        <v>273</v>
      </c>
      <c r="B1094">
        <v>96</v>
      </c>
      <c r="C1094">
        <v>-48</v>
      </c>
      <c r="D1094">
        <v>480</v>
      </c>
      <c r="E1094">
        <f>SUM(Details[[#This Row],[Actual_Cost]],Details[[#This Row],[Profit]])</f>
        <v>432</v>
      </c>
      <c r="F1094">
        <v>5</v>
      </c>
      <c r="G1094">
        <f>PRODUCT(Details[[#This Row],[Selling_Cost]],Details[[#This Row],[Quantity]])</f>
        <v>2160</v>
      </c>
      <c r="H1094" t="s">
        <v>8</v>
      </c>
      <c r="I1094" t="s">
        <v>69</v>
      </c>
      <c r="J1094" t="s">
        <v>18</v>
      </c>
      <c r="K1094" t="s">
        <v>641</v>
      </c>
      <c r="L1094" t="s">
        <v>541</v>
      </c>
    </row>
    <row r="1095" spans="1:12" x14ac:dyDescent="0.3">
      <c r="A1095" t="s">
        <v>172</v>
      </c>
      <c r="B1095">
        <v>71</v>
      </c>
      <c r="C1095">
        <v>-44</v>
      </c>
      <c r="D1095">
        <v>355</v>
      </c>
      <c r="E1095">
        <f>SUM(Details[[#This Row],[Actual_Cost]],Details[[#This Row],[Profit]])</f>
        <v>311</v>
      </c>
      <c r="F1095">
        <v>5</v>
      </c>
      <c r="G1095">
        <f>PRODUCT(Details[[#This Row],[Selling_Cost]],Details[[#This Row],[Quantity]])</f>
        <v>1555</v>
      </c>
      <c r="H1095" t="s">
        <v>13</v>
      </c>
      <c r="I1095" t="s">
        <v>55</v>
      </c>
      <c r="J1095" t="s">
        <v>18</v>
      </c>
      <c r="K1095" t="s">
        <v>587</v>
      </c>
      <c r="L1095" t="s">
        <v>550</v>
      </c>
    </row>
    <row r="1096" spans="1:12" x14ac:dyDescent="0.3">
      <c r="A1096" t="s">
        <v>70</v>
      </c>
      <c r="B1096">
        <v>81</v>
      </c>
      <c r="C1096">
        <v>-41</v>
      </c>
      <c r="D1096">
        <v>405</v>
      </c>
      <c r="E1096">
        <f>SUM(Details[[#This Row],[Actual_Cost]],Details[[#This Row],[Profit]])</f>
        <v>364</v>
      </c>
      <c r="F1096">
        <v>5</v>
      </c>
      <c r="G1096">
        <f>PRODUCT(Details[[#This Row],[Selling_Cost]],Details[[#This Row],[Quantity]])</f>
        <v>1820</v>
      </c>
      <c r="H1096" t="s">
        <v>8</v>
      </c>
      <c r="I1096" t="s">
        <v>69</v>
      </c>
      <c r="J1096" t="s">
        <v>125</v>
      </c>
      <c r="K1096" t="s">
        <v>548</v>
      </c>
      <c r="L1096" t="s">
        <v>541</v>
      </c>
    </row>
    <row r="1097" spans="1:12" x14ac:dyDescent="0.3">
      <c r="A1097" t="s">
        <v>12</v>
      </c>
      <c r="B1097">
        <v>82</v>
      </c>
      <c r="C1097">
        <v>-39</v>
      </c>
      <c r="D1097">
        <v>410</v>
      </c>
      <c r="E1097">
        <f>SUM(Details[[#This Row],[Actual_Cost]],Details[[#This Row],[Profit]])</f>
        <v>371</v>
      </c>
      <c r="F1097">
        <v>5</v>
      </c>
      <c r="G1097">
        <f>PRODUCT(Details[[#This Row],[Selling_Cost]],Details[[#This Row],[Quantity]])</f>
        <v>1855</v>
      </c>
      <c r="H1097" t="s">
        <v>8</v>
      </c>
      <c r="I1097" t="s">
        <v>46</v>
      </c>
      <c r="J1097" t="s">
        <v>125</v>
      </c>
      <c r="K1097" t="s">
        <v>552</v>
      </c>
      <c r="L1097" t="s">
        <v>585</v>
      </c>
    </row>
    <row r="1098" spans="1:12" x14ac:dyDescent="0.3">
      <c r="A1098" t="s">
        <v>151</v>
      </c>
      <c r="B1098">
        <v>114</v>
      </c>
      <c r="C1098">
        <v>-39</v>
      </c>
      <c r="D1098">
        <v>570</v>
      </c>
      <c r="E1098">
        <f>SUM(Details[[#This Row],[Actual_Cost]],Details[[#This Row],[Profit]])</f>
        <v>531</v>
      </c>
      <c r="F1098">
        <v>5</v>
      </c>
      <c r="G1098">
        <f>PRODUCT(Details[[#This Row],[Selling_Cost]],Details[[#This Row],[Quantity]])</f>
        <v>2655</v>
      </c>
      <c r="H1098" t="s">
        <v>8</v>
      </c>
      <c r="I1098" t="s">
        <v>44</v>
      </c>
      <c r="J1098" t="s">
        <v>10</v>
      </c>
      <c r="K1098" t="s">
        <v>587</v>
      </c>
      <c r="L1098" t="s">
        <v>565</v>
      </c>
    </row>
    <row r="1099" spans="1:12" x14ac:dyDescent="0.3">
      <c r="A1099" t="s">
        <v>363</v>
      </c>
      <c r="B1099">
        <v>40</v>
      </c>
      <c r="C1099">
        <v>-33</v>
      </c>
      <c r="D1099">
        <v>200</v>
      </c>
      <c r="E1099">
        <f>SUM(Details[[#This Row],[Actual_Cost]],Details[[#This Row],[Profit]])</f>
        <v>167</v>
      </c>
      <c r="F1099">
        <v>5</v>
      </c>
      <c r="G1099">
        <f>PRODUCT(Details[[#This Row],[Selling_Cost]],Details[[#This Row],[Quantity]])</f>
        <v>835</v>
      </c>
      <c r="H1099" t="s">
        <v>8</v>
      </c>
      <c r="I1099" t="s">
        <v>48</v>
      </c>
      <c r="J1099" t="s">
        <v>27</v>
      </c>
      <c r="K1099" t="s">
        <v>552</v>
      </c>
      <c r="L1099" t="s">
        <v>583</v>
      </c>
    </row>
    <row r="1100" spans="1:12" x14ac:dyDescent="0.3">
      <c r="A1100" t="s">
        <v>124</v>
      </c>
      <c r="B1100">
        <v>105</v>
      </c>
      <c r="C1100">
        <v>-33</v>
      </c>
      <c r="D1100">
        <v>525</v>
      </c>
      <c r="E1100">
        <f>SUM(Details[[#This Row],[Actual_Cost]],Details[[#This Row],[Profit]])</f>
        <v>492</v>
      </c>
      <c r="F1100">
        <v>5</v>
      </c>
      <c r="G1100">
        <f>PRODUCT(Details[[#This Row],[Selling_Cost]],Details[[#This Row],[Quantity]])</f>
        <v>2460</v>
      </c>
      <c r="H1100" t="s">
        <v>8</v>
      </c>
      <c r="I1100" t="s">
        <v>44</v>
      </c>
      <c r="J1100" t="s">
        <v>10</v>
      </c>
      <c r="K1100" t="s">
        <v>561</v>
      </c>
      <c r="L1100" t="s">
        <v>567</v>
      </c>
    </row>
    <row r="1101" spans="1:12" x14ac:dyDescent="0.3">
      <c r="A1101" t="s">
        <v>95</v>
      </c>
      <c r="B1101">
        <v>136</v>
      </c>
      <c r="C1101">
        <v>-33</v>
      </c>
      <c r="D1101">
        <v>680</v>
      </c>
      <c r="E1101">
        <f>SUM(Details[[#This Row],[Actual_Cost]],Details[[#This Row],[Profit]])</f>
        <v>647</v>
      </c>
      <c r="F1101">
        <v>5</v>
      </c>
      <c r="G1101">
        <f>PRODUCT(Details[[#This Row],[Selling_Cost]],Details[[#This Row],[Quantity]])</f>
        <v>3235</v>
      </c>
      <c r="H1101" t="s">
        <v>8</v>
      </c>
      <c r="I1101" t="s">
        <v>9</v>
      </c>
      <c r="J1101" t="s">
        <v>10</v>
      </c>
      <c r="K1101" t="s">
        <v>552</v>
      </c>
      <c r="L1101" t="s">
        <v>546</v>
      </c>
    </row>
    <row r="1102" spans="1:12" x14ac:dyDescent="0.3">
      <c r="A1102" t="s">
        <v>456</v>
      </c>
      <c r="B1102">
        <v>50</v>
      </c>
      <c r="C1102">
        <v>-28</v>
      </c>
      <c r="D1102">
        <v>250</v>
      </c>
      <c r="E1102">
        <f>SUM(Details[[#This Row],[Actual_Cost]],Details[[#This Row],[Profit]])</f>
        <v>222</v>
      </c>
      <c r="F1102">
        <v>5</v>
      </c>
      <c r="G1102">
        <f>PRODUCT(Details[[#This Row],[Selling_Cost]],Details[[#This Row],[Quantity]])</f>
        <v>1110</v>
      </c>
      <c r="H1102" t="s">
        <v>16</v>
      </c>
      <c r="I1102" t="s">
        <v>32</v>
      </c>
      <c r="J1102" t="s">
        <v>10</v>
      </c>
      <c r="K1102" t="s">
        <v>607</v>
      </c>
      <c r="L1102" t="s">
        <v>544</v>
      </c>
    </row>
    <row r="1103" spans="1:12" x14ac:dyDescent="0.3">
      <c r="A1103" t="s">
        <v>457</v>
      </c>
      <c r="B1103">
        <v>176</v>
      </c>
      <c r="C1103">
        <v>-28</v>
      </c>
      <c r="D1103">
        <v>880</v>
      </c>
      <c r="E1103">
        <f>SUM(Details[[#This Row],[Actual_Cost]],Details[[#This Row],[Profit]])</f>
        <v>852</v>
      </c>
      <c r="F1103">
        <v>5</v>
      </c>
      <c r="G1103">
        <f>PRODUCT(Details[[#This Row],[Selling_Cost]],Details[[#This Row],[Quantity]])</f>
        <v>4260</v>
      </c>
      <c r="H1103" t="s">
        <v>16</v>
      </c>
      <c r="I1103" t="s">
        <v>32</v>
      </c>
      <c r="J1103" t="s">
        <v>10</v>
      </c>
      <c r="K1103" t="s">
        <v>605</v>
      </c>
      <c r="L1103" t="s">
        <v>544</v>
      </c>
    </row>
    <row r="1104" spans="1:12" x14ac:dyDescent="0.3">
      <c r="A1104" t="s">
        <v>458</v>
      </c>
      <c r="B1104">
        <v>179</v>
      </c>
      <c r="C1104">
        <v>-25</v>
      </c>
      <c r="D1104">
        <v>895</v>
      </c>
      <c r="E1104">
        <f>SUM(Details[[#This Row],[Actual_Cost]],Details[[#This Row],[Profit]])</f>
        <v>870</v>
      </c>
      <c r="F1104">
        <v>5</v>
      </c>
      <c r="G1104">
        <f>PRODUCT(Details[[#This Row],[Selling_Cost]],Details[[#This Row],[Quantity]])</f>
        <v>4350</v>
      </c>
      <c r="H1104" t="s">
        <v>8</v>
      </c>
      <c r="I1104" t="s">
        <v>44</v>
      </c>
      <c r="J1104" t="s">
        <v>10</v>
      </c>
      <c r="K1104" t="s">
        <v>543</v>
      </c>
      <c r="L1104" t="s">
        <v>550</v>
      </c>
    </row>
    <row r="1105" spans="1:12" x14ac:dyDescent="0.3">
      <c r="A1105" t="s">
        <v>419</v>
      </c>
      <c r="B1105">
        <v>32</v>
      </c>
      <c r="C1105">
        <v>-22</v>
      </c>
      <c r="D1105">
        <v>160</v>
      </c>
      <c r="E1105">
        <f>SUM(Details[[#This Row],[Actual_Cost]],Details[[#This Row],[Profit]])</f>
        <v>138</v>
      </c>
      <c r="F1105">
        <v>5</v>
      </c>
      <c r="G1105">
        <f>PRODUCT(Details[[#This Row],[Selling_Cost]],Details[[#This Row],[Quantity]])</f>
        <v>690</v>
      </c>
      <c r="H1105" t="s">
        <v>8</v>
      </c>
      <c r="I1105" t="s">
        <v>9</v>
      </c>
      <c r="J1105" t="s">
        <v>18</v>
      </c>
      <c r="K1105" t="s">
        <v>552</v>
      </c>
      <c r="L1105" t="s">
        <v>624</v>
      </c>
    </row>
    <row r="1106" spans="1:12" x14ac:dyDescent="0.3">
      <c r="A1106" t="s">
        <v>175</v>
      </c>
      <c r="B1106">
        <v>80</v>
      </c>
      <c r="C1106">
        <v>-19</v>
      </c>
      <c r="D1106">
        <v>400</v>
      </c>
      <c r="E1106">
        <f>SUM(Details[[#This Row],[Actual_Cost]],Details[[#This Row],[Profit]])</f>
        <v>381</v>
      </c>
      <c r="F1106">
        <v>5</v>
      </c>
      <c r="G1106">
        <f>PRODUCT(Details[[#This Row],[Selling_Cost]],Details[[#This Row],[Quantity]])</f>
        <v>1905</v>
      </c>
      <c r="H1106" t="s">
        <v>8</v>
      </c>
      <c r="I1106" t="s">
        <v>29</v>
      </c>
      <c r="J1106" t="s">
        <v>18</v>
      </c>
      <c r="K1106" t="s">
        <v>592</v>
      </c>
      <c r="L1106" t="s">
        <v>554</v>
      </c>
    </row>
    <row r="1107" spans="1:12" x14ac:dyDescent="0.3">
      <c r="A1107" t="s">
        <v>72</v>
      </c>
      <c r="B1107">
        <v>44</v>
      </c>
      <c r="C1107">
        <v>-17</v>
      </c>
      <c r="D1107">
        <v>220</v>
      </c>
      <c r="E1107">
        <f>SUM(Details[[#This Row],[Actual_Cost]],Details[[#This Row],[Profit]])</f>
        <v>203</v>
      </c>
      <c r="F1107">
        <v>5</v>
      </c>
      <c r="G1107">
        <f>PRODUCT(Details[[#This Row],[Selling_Cost]],Details[[#This Row],[Quantity]])</f>
        <v>1015</v>
      </c>
      <c r="H1107" t="s">
        <v>8</v>
      </c>
      <c r="I1107" t="s">
        <v>9</v>
      </c>
      <c r="J1107" t="s">
        <v>18</v>
      </c>
      <c r="K1107" t="s">
        <v>569</v>
      </c>
      <c r="L1107" t="s">
        <v>624</v>
      </c>
    </row>
    <row r="1108" spans="1:12" x14ac:dyDescent="0.3">
      <c r="A1108" t="s">
        <v>180</v>
      </c>
      <c r="B1108">
        <v>41</v>
      </c>
      <c r="C1108">
        <v>-14</v>
      </c>
      <c r="D1108">
        <v>205</v>
      </c>
      <c r="E1108">
        <f>SUM(Details[[#This Row],[Actual_Cost]],Details[[#This Row],[Profit]])</f>
        <v>191</v>
      </c>
      <c r="F1108">
        <v>5</v>
      </c>
      <c r="G1108">
        <f>PRODUCT(Details[[#This Row],[Selling_Cost]],Details[[#This Row],[Quantity]])</f>
        <v>955</v>
      </c>
      <c r="H1108" t="s">
        <v>8</v>
      </c>
      <c r="I1108" t="s">
        <v>69</v>
      </c>
      <c r="J1108" t="s">
        <v>18</v>
      </c>
      <c r="K1108" t="s">
        <v>578</v>
      </c>
      <c r="L1108" t="s">
        <v>554</v>
      </c>
    </row>
    <row r="1109" spans="1:12" x14ac:dyDescent="0.3">
      <c r="A1109" t="s">
        <v>31</v>
      </c>
      <c r="B1109">
        <v>34</v>
      </c>
      <c r="C1109">
        <v>-13</v>
      </c>
      <c r="D1109">
        <v>170</v>
      </c>
      <c r="E1109">
        <f>SUM(Details[[#This Row],[Actual_Cost]],Details[[#This Row],[Profit]])</f>
        <v>157</v>
      </c>
      <c r="F1109">
        <v>5</v>
      </c>
      <c r="G1109">
        <f>PRODUCT(Details[[#This Row],[Selling_Cost]],Details[[#This Row],[Quantity]])</f>
        <v>785</v>
      </c>
      <c r="H1109" t="s">
        <v>8</v>
      </c>
      <c r="I1109" t="s">
        <v>69</v>
      </c>
      <c r="J1109" t="s">
        <v>10</v>
      </c>
      <c r="K1109" t="s">
        <v>539</v>
      </c>
      <c r="L1109" t="s">
        <v>585</v>
      </c>
    </row>
    <row r="1110" spans="1:12" x14ac:dyDescent="0.3">
      <c r="A1110" t="s">
        <v>236</v>
      </c>
      <c r="B1110">
        <v>176</v>
      </c>
      <c r="C1110">
        <v>-13</v>
      </c>
      <c r="D1110">
        <v>880</v>
      </c>
      <c r="E1110">
        <f>SUM(Details[[#This Row],[Actual_Cost]],Details[[#This Row],[Profit]])</f>
        <v>867</v>
      </c>
      <c r="F1110">
        <v>5</v>
      </c>
      <c r="G1110">
        <f>PRODUCT(Details[[#This Row],[Selling_Cost]],Details[[#This Row],[Quantity]])</f>
        <v>4335</v>
      </c>
      <c r="H1110" t="s">
        <v>16</v>
      </c>
      <c r="I1110" t="s">
        <v>32</v>
      </c>
      <c r="J1110" t="s">
        <v>10</v>
      </c>
      <c r="K1110" t="s">
        <v>578</v>
      </c>
      <c r="L1110" t="s">
        <v>544</v>
      </c>
    </row>
    <row r="1111" spans="1:12" x14ac:dyDescent="0.3">
      <c r="A1111" t="s">
        <v>76</v>
      </c>
      <c r="B1111">
        <v>313</v>
      </c>
      <c r="C1111">
        <v>-13</v>
      </c>
      <c r="D1111">
        <v>1565</v>
      </c>
      <c r="E1111">
        <f>SUM(Details[[#This Row],[Actual_Cost]],Details[[#This Row],[Profit]])</f>
        <v>1552</v>
      </c>
      <c r="F1111">
        <v>5</v>
      </c>
      <c r="G1111">
        <f>PRODUCT(Details[[#This Row],[Selling_Cost]],Details[[#This Row],[Quantity]])</f>
        <v>7760</v>
      </c>
      <c r="H1111" t="s">
        <v>16</v>
      </c>
      <c r="I1111" t="s">
        <v>17</v>
      </c>
      <c r="J1111" t="s">
        <v>18</v>
      </c>
      <c r="K1111" t="s">
        <v>539</v>
      </c>
      <c r="L1111" t="s">
        <v>583</v>
      </c>
    </row>
    <row r="1112" spans="1:12" x14ac:dyDescent="0.3">
      <c r="A1112" t="s">
        <v>459</v>
      </c>
      <c r="B1112">
        <v>17</v>
      </c>
      <c r="C1112">
        <v>-12</v>
      </c>
      <c r="D1112">
        <v>85</v>
      </c>
      <c r="E1112">
        <f>SUM(Details[[#This Row],[Actual_Cost]],Details[[#This Row],[Profit]])</f>
        <v>73</v>
      </c>
      <c r="F1112">
        <v>5</v>
      </c>
      <c r="G1112">
        <f>PRODUCT(Details[[#This Row],[Selling_Cost]],Details[[#This Row],[Quantity]])</f>
        <v>365</v>
      </c>
      <c r="H1112" t="s">
        <v>8</v>
      </c>
      <c r="I1112" t="s">
        <v>58</v>
      </c>
      <c r="J1112" t="s">
        <v>42</v>
      </c>
      <c r="K1112" t="s">
        <v>548</v>
      </c>
      <c r="L1112" t="s">
        <v>624</v>
      </c>
    </row>
    <row r="1113" spans="1:12" x14ac:dyDescent="0.3">
      <c r="A1113" t="s">
        <v>169</v>
      </c>
      <c r="B1113">
        <v>33</v>
      </c>
      <c r="C1113">
        <v>-12</v>
      </c>
      <c r="D1113">
        <v>165</v>
      </c>
      <c r="E1113">
        <f>SUM(Details[[#This Row],[Actual_Cost]],Details[[#This Row],[Profit]])</f>
        <v>153</v>
      </c>
      <c r="F1113">
        <v>5</v>
      </c>
      <c r="G1113">
        <f>PRODUCT(Details[[#This Row],[Selling_Cost]],Details[[#This Row],[Quantity]])</f>
        <v>765</v>
      </c>
      <c r="H1113" t="s">
        <v>8</v>
      </c>
      <c r="I1113" t="s">
        <v>48</v>
      </c>
      <c r="J1113" t="s">
        <v>10</v>
      </c>
      <c r="K1113" t="s">
        <v>552</v>
      </c>
      <c r="L1113" t="s">
        <v>585</v>
      </c>
    </row>
    <row r="1114" spans="1:12" x14ac:dyDescent="0.3">
      <c r="A1114" t="s">
        <v>354</v>
      </c>
      <c r="B1114">
        <v>34</v>
      </c>
      <c r="C1114">
        <v>-12</v>
      </c>
      <c r="D1114">
        <v>170</v>
      </c>
      <c r="E1114">
        <f>SUM(Details[[#This Row],[Actual_Cost]],Details[[#This Row],[Profit]])</f>
        <v>158</v>
      </c>
      <c r="F1114">
        <v>5</v>
      </c>
      <c r="G1114">
        <f>PRODUCT(Details[[#This Row],[Selling_Cost]],Details[[#This Row],[Quantity]])</f>
        <v>790</v>
      </c>
      <c r="H1114" t="s">
        <v>8</v>
      </c>
      <c r="I1114" t="s">
        <v>69</v>
      </c>
      <c r="J1114" t="s">
        <v>10</v>
      </c>
      <c r="K1114" t="s">
        <v>569</v>
      </c>
      <c r="L1114" t="s">
        <v>546</v>
      </c>
    </row>
    <row r="1115" spans="1:12" x14ac:dyDescent="0.3">
      <c r="A1115" t="s">
        <v>357</v>
      </c>
      <c r="B1115">
        <v>66</v>
      </c>
      <c r="C1115">
        <v>-12</v>
      </c>
      <c r="D1115">
        <v>330</v>
      </c>
      <c r="E1115">
        <f>SUM(Details[[#This Row],[Actual_Cost]],Details[[#This Row],[Profit]])</f>
        <v>318</v>
      </c>
      <c r="F1115">
        <v>5</v>
      </c>
      <c r="G1115">
        <f>PRODUCT(Details[[#This Row],[Selling_Cost]],Details[[#This Row],[Quantity]])</f>
        <v>1590</v>
      </c>
      <c r="H1115" t="s">
        <v>8</v>
      </c>
      <c r="I1115" t="s">
        <v>29</v>
      </c>
      <c r="J1115" t="s">
        <v>18</v>
      </c>
      <c r="K1115" t="s">
        <v>569</v>
      </c>
      <c r="L1115" t="s">
        <v>565</v>
      </c>
    </row>
    <row r="1116" spans="1:12" x14ac:dyDescent="0.3">
      <c r="A1116" t="s">
        <v>102</v>
      </c>
      <c r="B1116">
        <v>34</v>
      </c>
      <c r="C1116">
        <v>-11</v>
      </c>
      <c r="D1116">
        <v>170</v>
      </c>
      <c r="E1116">
        <f>SUM(Details[[#This Row],[Actual_Cost]],Details[[#This Row],[Profit]])</f>
        <v>159</v>
      </c>
      <c r="F1116">
        <v>5</v>
      </c>
      <c r="G1116">
        <f>PRODUCT(Details[[#This Row],[Selling_Cost]],Details[[#This Row],[Quantity]])</f>
        <v>795</v>
      </c>
      <c r="H1116" t="s">
        <v>8</v>
      </c>
      <c r="I1116" t="s">
        <v>46</v>
      </c>
      <c r="J1116" t="s">
        <v>10</v>
      </c>
      <c r="K1116" t="s">
        <v>552</v>
      </c>
      <c r="L1116" t="s">
        <v>554</v>
      </c>
    </row>
    <row r="1117" spans="1:12" x14ac:dyDescent="0.3">
      <c r="A1117" t="s">
        <v>348</v>
      </c>
      <c r="B1117">
        <v>233</v>
      </c>
      <c r="C1117">
        <v>-10</v>
      </c>
      <c r="D1117">
        <v>1165</v>
      </c>
      <c r="E1117">
        <f>SUM(Details[[#This Row],[Actual_Cost]],Details[[#This Row],[Profit]])</f>
        <v>1155</v>
      </c>
      <c r="F1117">
        <v>5</v>
      </c>
      <c r="G1117">
        <f>PRODUCT(Details[[#This Row],[Selling_Cost]],Details[[#This Row],[Quantity]])</f>
        <v>5775</v>
      </c>
      <c r="H1117" t="s">
        <v>13</v>
      </c>
      <c r="I1117" t="s">
        <v>34</v>
      </c>
      <c r="J1117" t="s">
        <v>10</v>
      </c>
      <c r="K1117" t="s">
        <v>552</v>
      </c>
      <c r="L1117" t="s">
        <v>565</v>
      </c>
    </row>
    <row r="1118" spans="1:12" x14ac:dyDescent="0.3">
      <c r="A1118" t="s">
        <v>60</v>
      </c>
      <c r="B1118">
        <v>25</v>
      </c>
      <c r="C1118">
        <v>-7</v>
      </c>
      <c r="D1118">
        <v>125</v>
      </c>
      <c r="E1118">
        <f>SUM(Details[[#This Row],[Actual_Cost]],Details[[#This Row],[Profit]])</f>
        <v>118</v>
      </c>
      <c r="F1118">
        <v>5</v>
      </c>
      <c r="G1118">
        <f>PRODUCT(Details[[#This Row],[Selling_Cost]],Details[[#This Row],[Quantity]])</f>
        <v>590</v>
      </c>
      <c r="H1118" t="s">
        <v>8</v>
      </c>
      <c r="I1118" t="s">
        <v>9</v>
      </c>
      <c r="J1118" t="s">
        <v>18</v>
      </c>
      <c r="K1118" t="s">
        <v>548</v>
      </c>
      <c r="L1118" t="s">
        <v>563</v>
      </c>
    </row>
    <row r="1119" spans="1:12" x14ac:dyDescent="0.3">
      <c r="A1119" t="s">
        <v>460</v>
      </c>
      <c r="B1119">
        <v>31</v>
      </c>
      <c r="C1119">
        <v>-7</v>
      </c>
      <c r="D1119">
        <v>155</v>
      </c>
      <c r="E1119">
        <f>SUM(Details[[#This Row],[Actual_Cost]],Details[[#This Row],[Profit]])</f>
        <v>148</v>
      </c>
      <c r="F1119">
        <v>5</v>
      </c>
      <c r="G1119">
        <f>PRODUCT(Details[[#This Row],[Selling_Cost]],Details[[#This Row],[Quantity]])</f>
        <v>740</v>
      </c>
      <c r="H1119" t="s">
        <v>8</v>
      </c>
      <c r="I1119" t="s">
        <v>58</v>
      </c>
      <c r="J1119" t="s">
        <v>18</v>
      </c>
      <c r="K1119" t="s">
        <v>548</v>
      </c>
      <c r="L1119" t="s">
        <v>614</v>
      </c>
    </row>
    <row r="1120" spans="1:12" x14ac:dyDescent="0.3">
      <c r="A1120" t="s">
        <v>461</v>
      </c>
      <c r="B1120">
        <v>196</v>
      </c>
      <c r="C1120">
        <v>-7</v>
      </c>
      <c r="D1120">
        <v>980</v>
      </c>
      <c r="E1120">
        <f>SUM(Details[[#This Row],[Actual_Cost]],Details[[#This Row],[Profit]])</f>
        <v>973</v>
      </c>
      <c r="F1120">
        <v>5</v>
      </c>
      <c r="G1120">
        <f>PRODUCT(Details[[#This Row],[Selling_Cost]],Details[[#This Row],[Quantity]])</f>
        <v>4865</v>
      </c>
      <c r="H1120" t="s">
        <v>13</v>
      </c>
      <c r="I1120" t="s">
        <v>14</v>
      </c>
      <c r="J1120" t="s">
        <v>10</v>
      </c>
      <c r="K1120" t="s">
        <v>543</v>
      </c>
      <c r="L1120" t="s">
        <v>544</v>
      </c>
    </row>
    <row r="1121" spans="1:12" x14ac:dyDescent="0.3">
      <c r="A1121" t="s">
        <v>89</v>
      </c>
      <c r="B1121">
        <v>30</v>
      </c>
      <c r="C1121">
        <v>-5</v>
      </c>
      <c r="D1121">
        <v>150</v>
      </c>
      <c r="E1121">
        <f>SUM(Details[[#This Row],[Actual_Cost]],Details[[#This Row],[Profit]])</f>
        <v>145</v>
      </c>
      <c r="F1121">
        <v>5</v>
      </c>
      <c r="G1121">
        <f>PRODUCT(Details[[#This Row],[Selling_Cost]],Details[[#This Row],[Quantity]])</f>
        <v>725</v>
      </c>
      <c r="H1121" t="s">
        <v>8</v>
      </c>
      <c r="I1121" t="s">
        <v>29</v>
      </c>
      <c r="J1121" t="s">
        <v>18</v>
      </c>
      <c r="K1121" t="s">
        <v>548</v>
      </c>
      <c r="L1121" t="s">
        <v>624</v>
      </c>
    </row>
    <row r="1122" spans="1:12" x14ac:dyDescent="0.3">
      <c r="A1122" t="s">
        <v>181</v>
      </c>
      <c r="B1122">
        <v>32</v>
      </c>
      <c r="C1122">
        <v>-5</v>
      </c>
      <c r="D1122">
        <v>160</v>
      </c>
      <c r="E1122">
        <f>SUM(Details[[#This Row],[Actual_Cost]],Details[[#This Row],[Profit]])</f>
        <v>155</v>
      </c>
      <c r="F1122">
        <v>5</v>
      </c>
      <c r="G1122">
        <f>PRODUCT(Details[[#This Row],[Selling_Cost]],Details[[#This Row],[Quantity]])</f>
        <v>775</v>
      </c>
      <c r="H1122" t="s">
        <v>8</v>
      </c>
      <c r="I1122" t="s">
        <v>48</v>
      </c>
      <c r="J1122" t="s">
        <v>18</v>
      </c>
      <c r="K1122" t="s">
        <v>552</v>
      </c>
      <c r="L1122" t="s">
        <v>585</v>
      </c>
    </row>
    <row r="1123" spans="1:12" x14ac:dyDescent="0.3">
      <c r="A1123" t="s">
        <v>155</v>
      </c>
      <c r="B1123">
        <v>89</v>
      </c>
      <c r="C1123">
        <v>-4</v>
      </c>
      <c r="D1123">
        <v>445</v>
      </c>
      <c r="E1123">
        <f>SUM(Details[[#This Row],[Actual_Cost]],Details[[#This Row],[Profit]])</f>
        <v>441</v>
      </c>
      <c r="F1123">
        <v>5</v>
      </c>
      <c r="G1123">
        <f>PRODUCT(Details[[#This Row],[Selling_Cost]],Details[[#This Row],[Quantity]])</f>
        <v>2205</v>
      </c>
      <c r="H1123" t="s">
        <v>8</v>
      </c>
      <c r="I1123" t="s">
        <v>9</v>
      </c>
      <c r="J1123" t="s">
        <v>27</v>
      </c>
      <c r="K1123" t="s">
        <v>552</v>
      </c>
      <c r="L1123" t="s">
        <v>583</v>
      </c>
    </row>
    <row r="1124" spans="1:12" x14ac:dyDescent="0.3">
      <c r="A1124" t="s">
        <v>176</v>
      </c>
      <c r="B1124">
        <v>138</v>
      </c>
      <c r="C1124">
        <v>-3</v>
      </c>
      <c r="D1124">
        <v>690</v>
      </c>
      <c r="E1124">
        <f>SUM(Details[[#This Row],[Actual_Cost]],Details[[#This Row],[Profit]])</f>
        <v>687</v>
      </c>
      <c r="F1124">
        <v>5</v>
      </c>
      <c r="G1124">
        <f>PRODUCT(Details[[#This Row],[Selling_Cost]],Details[[#This Row],[Quantity]])</f>
        <v>3435</v>
      </c>
      <c r="H1124" t="s">
        <v>8</v>
      </c>
      <c r="I1124" t="s">
        <v>9</v>
      </c>
      <c r="J1124" t="s">
        <v>10</v>
      </c>
      <c r="K1124" t="s">
        <v>539</v>
      </c>
      <c r="L1124" t="s">
        <v>614</v>
      </c>
    </row>
    <row r="1125" spans="1:12" x14ac:dyDescent="0.3">
      <c r="A1125" t="s">
        <v>35</v>
      </c>
      <c r="B1125">
        <v>152</v>
      </c>
      <c r="C1125">
        <v>-3</v>
      </c>
      <c r="D1125">
        <v>760</v>
      </c>
      <c r="E1125">
        <f>SUM(Details[[#This Row],[Actual_Cost]],Details[[#This Row],[Profit]])</f>
        <v>757</v>
      </c>
      <c r="F1125">
        <v>5</v>
      </c>
      <c r="G1125">
        <f>PRODUCT(Details[[#This Row],[Selling_Cost]],Details[[#This Row],[Quantity]])</f>
        <v>3785</v>
      </c>
      <c r="H1125" t="s">
        <v>8</v>
      </c>
      <c r="I1125" t="s">
        <v>9</v>
      </c>
      <c r="J1125" t="s">
        <v>10</v>
      </c>
      <c r="K1125" t="s">
        <v>543</v>
      </c>
      <c r="L1125" t="s">
        <v>544</v>
      </c>
    </row>
    <row r="1126" spans="1:12" x14ac:dyDescent="0.3">
      <c r="A1126" t="s">
        <v>200</v>
      </c>
      <c r="B1126">
        <v>25</v>
      </c>
      <c r="C1126">
        <v>-2</v>
      </c>
      <c r="D1126">
        <v>125</v>
      </c>
      <c r="E1126">
        <f>SUM(Details[[#This Row],[Actual_Cost]],Details[[#This Row],[Profit]])</f>
        <v>123</v>
      </c>
      <c r="F1126">
        <v>5</v>
      </c>
      <c r="G1126">
        <f>PRODUCT(Details[[#This Row],[Selling_Cost]],Details[[#This Row],[Quantity]])</f>
        <v>615</v>
      </c>
      <c r="H1126" t="s">
        <v>8</v>
      </c>
      <c r="I1126" t="s">
        <v>48</v>
      </c>
      <c r="J1126" t="s">
        <v>18</v>
      </c>
      <c r="K1126" t="s">
        <v>661</v>
      </c>
      <c r="L1126" t="s">
        <v>624</v>
      </c>
    </row>
    <row r="1127" spans="1:12" x14ac:dyDescent="0.3">
      <c r="A1127" t="s">
        <v>114</v>
      </c>
      <c r="B1127">
        <v>891</v>
      </c>
      <c r="C1127">
        <v>0</v>
      </c>
      <c r="D1127">
        <v>4455</v>
      </c>
      <c r="E1127">
        <f>SUM(Details[[#This Row],[Actual_Cost]],Details[[#This Row],[Profit]])</f>
        <v>4455</v>
      </c>
      <c r="F1127">
        <v>5</v>
      </c>
      <c r="G1127">
        <f>PRODUCT(Details[[#This Row],[Selling_Cost]],Details[[#This Row],[Quantity]])</f>
        <v>22275</v>
      </c>
      <c r="H1127" t="s">
        <v>8</v>
      </c>
      <c r="I1127" t="s">
        <v>9</v>
      </c>
      <c r="J1127" t="s">
        <v>10</v>
      </c>
      <c r="K1127" t="s">
        <v>569</v>
      </c>
      <c r="L1127" t="s">
        <v>546</v>
      </c>
    </row>
    <row r="1128" spans="1:12" x14ac:dyDescent="0.3">
      <c r="A1128" t="s">
        <v>218</v>
      </c>
      <c r="B1128">
        <v>75</v>
      </c>
      <c r="C1128">
        <v>2</v>
      </c>
      <c r="D1128">
        <v>375</v>
      </c>
      <c r="E1128">
        <f>SUM(Details[[#This Row],[Actual_Cost]],Details[[#This Row],[Profit]])</f>
        <v>377</v>
      </c>
      <c r="F1128">
        <v>5</v>
      </c>
      <c r="G1128">
        <f>PRODUCT(Details[[#This Row],[Selling_Cost]],Details[[#This Row],[Quantity]])</f>
        <v>1885</v>
      </c>
      <c r="H1128" t="s">
        <v>8</v>
      </c>
      <c r="I1128" t="s">
        <v>69</v>
      </c>
      <c r="J1128" t="s">
        <v>42</v>
      </c>
      <c r="K1128" t="s">
        <v>548</v>
      </c>
      <c r="L1128" t="s">
        <v>541</v>
      </c>
    </row>
    <row r="1129" spans="1:12" x14ac:dyDescent="0.3">
      <c r="A1129" t="s">
        <v>345</v>
      </c>
      <c r="B1129">
        <v>71</v>
      </c>
      <c r="C1129">
        <v>4</v>
      </c>
      <c r="D1129">
        <v>355</v>
      </c>
      <c r="E1129">
        <f>SUM(Details[[#This Row],[Actual_Cost]],Details[[#This Row],[Profit]])</f>
        <v>359</v>
      </c>
      <c r="F1129">
        <v>5</v>
      </c>
      <c r="G1129">
        <f>PRODUCT(Details[[#This Row],[Selling_Cost]],Details[[#This Row],[Quantity]])</f>
        <v>1795</v>
      </c>
      <c r="H1129" t="s">
        <v>8</v>
      </c>
      <c r="I1129" t="s">
        <v>69</v>
      </c>
      <c r="J1129" t="s">
        <v>42</v>
      </c>
      <c r="K1129" t="s">
        <v>607</v>
      </c>
      <c r="L1129" t="s">
        <v>546</v>
      </c>
    </row>
    <row r="1130" spans="1:12" x14ac:dyDescent="0.3">
      <c r="A1130" t="s">
        <v>95</v>
      </c>
      <c r="B1130">
        <v>133</v>
      </c>
      <c r="C1130">
        <v>5</v>
      </c>
      <c r="D1130">
        <v>665</v>
      </c>
      <c r="E1130">
        <f>SUM(Details[[#This Row],[Actual_Cost]],Details[[#This Row],[Profit]])</f>
        <v>670</v>
      </c>
      <c r="F1130">
        <v>5</v>
      </c>
      <c r="G1130">
        <f>PRODUCT(Details[[#This Row],[Selling_Cost]],Details[[#This Row],[Quantity]])</f>
        <v>3350</v>
      </c>
      <c r="H1130" t="s">
        <v>8</v>
      </c>
      <c r="I1130" t="s">
        <v>29</v>
      </c>
      <c r="J1130" t="s">
        <v>18</v>
      </c>
      <c r="K1130" t="s">
        <v>552</v>
      </c>
      <c r="L1130" t="s">
        <v>546</v>
      </c>
    </row>
    <row r="1131" spans="1:12" x14ac:dyDescent="0.3">
      <c r="A1131" t="s">
        <v>141</v>
      </c>
      <c r="B1131">
        <v>137</v>
      </c>
      <c r="C1131">
        <v>5</v>
      </c>
      <c r="D1131">
        <v>685</v>
      </c>
      <c r="E1131">
        <f>SUM(Details[[#This Row],[Actual_Cost]],Details[[#This Row],[Profit]])</f>
        <v>690</v>
      </c>
      <c r="F1131">
        <v>5</v>
      </c>
      <c r="G1131">
        <f>PRODUCT(Details[[#This Row],[Selling_Cost]],Details[[#This Row],[Quantity]])</f>
        <v>3450</v>
      </c>
      <c r="H1131" t="s">
        <v>8</v>
      </c>
      <c r="I1131" t="s">
        <v>61</v>
      </c>
      <c r="J1131" t="s">
        <v>10</v>
      </c>
      <c r="K1131" t="s">
        <v>552</v>
      </c>
      <c r="L1131" t="s">
        <v>563</v>
      </c>
    </row>
    <row r="1132" spans="1:12" x14ac:dyDescent="0.3">
      <c r="A1132" t="s">
        <v>341</v>
      </c>
      <c r="B1132">
        <v>41</v>
      </c>
      <c r="C1132">
        <v>6</v>
      </c>
      <c r="D1132">
        <v>205</v>
      </c>
      <c r="E1132">
        <f>SUM(Details[[#This Row],[Actual_Cost]],Details[[#This Row],[Profit]])</f>
        <v>211</v>
      </c>
      <c r="F1132">
        <v>5</v>
      </c>
      <c r="G1132">
        <f>PRODUCT(Details[[#This Row],[Selling_Cost]],Details[[#This Row],[Quantity]])</f>
        <v>1055</v>
      </c>
      <c r="H1132" t="s">
        <v>8</v>
      </c>
      <c r="I1132" t="s">
        <v>58</v>
      </c>
      <c r="J1132" t="s">
        <v>27</v>
      </c>
      <c r="K1132" t="s">
        <v>605</v>
      </c>
      <c r="L1132" t="s">
        <v>624</v>
      </c>
    </row>
    <row r="1133" spans="1:12" x14ac:dyDescent="0.3">
      <c r="A1133" t="s">
        <v>462</v>
      </c>
      <c r="B1133">
        <v>57</v>
      </c>
      <c r="C1133">
        <v>6</v>
      </c>
      <c r="D1133">
        <v>285</v>
      </c>
      <c r="E1133">
        <f>SUM(Details[[#This Row],[Actual_Cost]],Details[[#This Row],[Profit]])</f>
        <v>291</v>
      </c>
      <c r="F1133">
        <v>5</v>
      </c>
      <c r="G1133">
        <f>PRODUCT(Details[[#This Row],[Selling_Cost]],Details[[#This Row],[Quantity]])</f>
        <v>1455</v>
      </c>
      <c r="H1133" t="s">
        <v>8</v>
      </c>
      <c r="I1133" t="s">
        <v>69</v>
      </c>
      <c r="J1133" t="s">
        <v>42</v>
      </c>
      <c r="K1133" t="s">
        <v>552</v>
      </c>
      <c r="L1133" t="s">
        <v>550</v>
      </c>
    </row>
    <row r="1134" spans="1:12" x14ac:dyDescent="0.3">
      <c r="A1134" t="s">
        <v>237</v>
      </c>
      <c r="B1134">
        <v>62</v>
      </c>
      <c r="C1134">
        <v>6</v>
      </c>
      <c r="D1134">
        <v>310</v>
      </c>
      <c r="E1134">
        <f>SUM(Details[[#This Row],[Actual_Cost]],Details[[#This Row],[Profit]])</f>
        <v>316</v>
      </c>
      <c r="F1134">
        <v>5</v>
      </c>
      <c r="G1134">
        <f>PRODUCT(Details[[#This Row],[Selling_Cost]],Details[[#This Row],[Quantity]])</f>
        <v>1580</v>
      </c>
      <c r="H1134" t="s">
        <v>8</v>
      </c>
      <c r="I1134" t="s">
        <v>48</v>
      </c>
      <c r="J1134" t="s">
        <v>10</v>
      </c>
      <c r="K1134" t="s">
        <v>539</v>
      </c>
      <c r="L1134" t="s">
        <v>567</v>
      </c>
    </row>
    <row r="1135" spans="1:12" x14ac:dyDescent="0.3">
      <c r="A1135" t="s">
        <v>408</v>
      </c>
      <c r="B1135">
        <v>89</v>
      </c>
      <c r="C1135">
        <v>6</v>
      </c>
      <c r="D1135">
        <v>445</v>
      </c>
      <c r="E1135">
        <f>SUM(Details[[#This Row],[Actual_Cost]],Details[[#This Row],[Profit]])</f>
        <v>451</v>
      </c>
      <c r="F1135">
        <v>5</v>
      </c>
      <c r="G1135">
        <f>PRODUCT(Details[[#This Row],[Selling_Cost]],Details[[#This Row],[Quantity]])</f>
        <v>2255</v>
      </c>
      <c r="H1135" t="s">
        <v>8</v>
      </c>
      <c r="I1135" t="s">
        <v>9</v>
      </c>
      <c r="J1135" t="s">
        <v>10</v>
      </c>
      <c r="K1135" t="s">
        <v>548</v>
      </c>
      <c r="L1135" t="s">
        <v>546</v>
      </c>
    </row>
    <row r="1136" spans="1:12" x14ac:dyDescent="0.3">
      <c r="A1136" t="s">
        <v>463</v>
      </c>
      <c r="B1136">
        <v>140</v>
      </c>
      <c r="C1136">
        <v>6</v>
      </c>
      <c r="D1136">
        <v>700</v>
      </c>
      <c r="E1136">
        <f>SUM(Details[[#This Row],[Actual_Cost]],Details[[#This Row],[Profit]])</f>
        <v>706</v>
      </c>
      <c r="F1136">
        <v>5</v>
      </c>
      <c r="G1136">
        <f>PRODUCT(Details[[#This Row],[Selling_Cost]],Details[[#This Row],[Quantity]])</f>
        <v>3530</v>
      </c>
      <c r="H1136" t="s">
        <v>8</v>
      </c>
      <c r="I1136" t="s">
        <v>9</v>
      </c>
      <c r="J1136" t="s">
        <v>10</v>
      </c>
      <c r="K1136" t="s">
        <v>552</v>
      </c>
      <c r="L1136" t="s">
        <v>563</v>
      </c>
    </row>
    <row r="1137" spans="1:12" x14ac:dyDescent="0.3">
      <c r="A1137" t="s">
        <v>299</v>
      </c>
      <c r="B1137">
        <v>29</v>
      </c>
      <c r="C1137">
        <v>8</v>
      </c>
      <c r="D1137">
        <v>145</v>
      </c>
      <c r="E1137">
        <f>SUM(Details[[#This Row],[Actual_Cost]],Details[[#This Row],[Profit]])</f>
        <v>153</v>
      </c>
      <c r="F1137">
        <v>5</v>
      </c>
      <c r="G1137">
        <f>PRODUCT(Details[[#This Row],[Selling_Cost]],Details[[#This Row],[Quantity]])</f>
        <v>765</v>
      </c>
      <c r="H1137" t="s">
        <v>8</v>
      </c>
      <c r="I1137" t="s">
        <v>48</v>
      </c>
      <c r="J1137" t="s">
        <v>18</v>
      </c>
      <c r="K1137" t="s">
        <v>587</v>
      </c>
      <c r="L1137" t="s">
        <v>563</v>
      </c>
    </row>
    <row r="1138" spans="1:12" x14ac:dyDescent="0.3">
      <c r="A1138" t="s">
        <v>441</v>
      </c>
      <c r="B1138">
        <v>32</v>
      </c>
      <c r="C1138">
        <v>8</v>
      </c>
      <c r="D1138">
        <v>160</v>
      </c>
      <c r="E1138">
        <f>SUM(Details[[#This Row],[Actual_Cost]],Details[[#This Row],[Profit]])</f>
        <v>168</v>
      </c>
      <c r="F1138">
        <v>5</v>
      </c>
      <c r="G1138">
        <f>PRODUCT(Details[[#This Row],[Selling_Cost]],Details[[#This Row],[Quantity]])</f>
        <v>840</v>
      </c>
      <c r="H1138" t="s">
        <v>8</v>
      </c>
      <c r="I1138" t="s">
        <v>48</v>
      </c>
      <c r="J1138" t="s">
        <v>18</v>
      </c>
      <c r="K1138" t="s">
        <v>552</v>
      </c>
      <c r="L1138" t="s">
        <v>546</v>
      </c>
    </row>
    <row r="1139" spans="1:12" x14ac:dyDescent="0.3">
      <c r="A1139" t="s">
        <v>368</v>
      </c>
      <c r="B1139">
        <v>24</v>
      </c>
      <c r="C1139">
        <v>11</v>
      </c>
      <c r="D1139">
        <v>120</v>
      </c>
      <c r="E1139">
        <f>SUM(Details[[#This Row],[Actual_Cost]],Details[[#This Row],[Profit]])</f>
        <v>131</v>
      </c>
      <c r="F1139">
        <v>5</v>
      </c>
      <c r="G1139">
        <f>PRODUCT(Details[[#This Row],[Selling_Cost]],Details[[#This Row],[Quantity]])</f>
        <v>655</v>
      </c>
      <c r="H1139" t="s">
        <v>8</v>
      </c>
      <c r="I1139" t="s">
        <v>48</v>
      </c>
      <c r="J1139" t="s">
        <v>42</v>
      </c>
      <c r="K1139" t="s">
        <v>552</v>
      </c>
      <c r="L1139" t="s">
        <v>550</v>
      </c>
    </row>
    <row r="1140" spans="1:12" x14ac:dyDescent="0.3">
      <c r="A1140" t="s">
        <v>464</v>
      </c>
      <c r="B1140">
        <v>30</v>
      </c>
      <c r="C1140">
        <v>11</v>
      </c>
      <c r="D1140">
        <v>150</v>
      </c>
      <c r="E1140">
        <f>SUM(Details[[#This Row],[Actual_Cost]],Details[[#This Row],[Profit]])</f>
        <v>161</v>
      </c>
      <c r="F1140">
        <v>5</v>
      </c>
      <c r="G1140">
        <f>PRODUCT(Details[[#This Row],[Selling_Cost]],Details[[#This Row],[Quantity]])</f>
        <v>805</v>
      </c>
      <c r="H1140" t="s">
        <v>8</v>
      </c>
      <c r="I1140" t="s">
        <v>48</v>
      </c>
      <c r="J1140" t="s">
        <v>10</v>
      </c>
      <c r="K1140" t="s">
        <v>552</v>
      </c>
      <c r="L1140" t="s">
        <v>550</v>
      </c>
    </row>
    <row r="1141" spans="1:12" x14ac:dyDescent="0.3">
      <c r="A1141" t="s">
        <v>231</v>
      </c>
      <c r="B1141">
        <v>52</v>
      </c>
      <c r="C1141">
        <v>11</v>
      </c>
      <c r="D1141">
        <v>260</v>
      </c>
      <c r="E1141">
        <f>SUM(Details[[#This Row],[Actual_Cost]],Details[[#This Row],[Profit]])</f>
        <v>271</v>
      </c>
      <c r="F1141">
        <v>5</v>
      </c>
      <c r="G1141">
        <f>PRODUCT(Details[[#This Row],[Selling_Cost]],Details[[#This Row],[Quantity]])</f>
        <v>1355</v>
      </c>
      <c r="H1141" t="s">
        <v>8</v>
      </c>
      <c r="I1141" t="s">
        <v>69</v>
      </c>
      <c r="J1141" t="s">
        <v>10</v>
      </c>
      <c r="K1141" t="s">
        <v>569</v>
      </c>
      <c r="L1141" t="s">
        <v>563</v>
      </c>
    </row>
    <row r="1142" spans="1:12" x14ac:dyDescent="0.3">
      <c r="A1142" t="s">
        <v>148</v>
      </c>
      <c r="B1142">
        <v>138</v>
      </c>
      <c r="C1142">
        <v>11</v>
      </c>
      <c r="D1142">
        <v>690</v>
      </c>
      <c r="E1142">
        <f>SUM(Details[[#This Row],[Actual_Cost]],Details[[#This Row],[Profit]])</f>
        <v>701</v>
      </c>
      <c r="F1142">
        <v>5</v>
      </c>
      <c r="G1142">
        <f>PRODUCT(Details[[#This Row],[Selling_Cost]],Details[[#This Row],[Quantity]])</f>
        <v>3505</v>
      </c>
      <c r="H1142" t="s">
        <v>8</v>
      </c>
      <c r="I1142" t="s">
        <v>29</v>
      </c>
      <c r="J1142" t="s">
        <v>18</v>
      </c>
      <c r="K1142" t="s">
        <v>548</v>
      </c>
      <c r="L1142" t="s">
        <v>541</v>
      </c>
    </row>
    <row r="1143" spans="1:12" x14ac:dyDescent="0.3">
      <c r="A1143" t="s">
        <v>358</v>
      </c>
      <c r="B1143">
        <v>42</v>
      </c>
      <c r="C1143">
        <v>12</v>
      </c>
      <c r="D1143">
        <v>210</v>
      </c>
      <c r="E1143">
        <f>SUM(Details[[#This Row],[Actual_Cost]],Details[[#This Row],[Profit]])</f>
        <v>222</v>
      </c>
      <c r="F1143">
        <v>5</v>
      </c>
      <c r="G1143">
        <f>PRODUCT(Details[[#This Row],[Selling_Cost]],Details[[#This Row],[Quantity]])</f>
        <v>1110</v>
      </c>
      <c r="H1143" t="s">
        <v>8</v>
      </c>
      <c r="I1143" t="s">
        <v>48</v>
      </c>
      <c r="J1143" t="s">
        <v>10</v>
      </c>
      <c r="K1143" t="s">
        <v>661</v>
      </c>
      <c r="L1143" t="s">
        <v>565</v>
      </c>
    </row>
    <row r="1144" spans="1:12" x14ac:dyDescent="0.3">
      <c r="A1144" t="s">
        <v>465</v>
      </c>
      <c r="B1144">
        <v>55</v>
      </c>
      <c r="C1144">
        <v>12</v>
      </c>
      <c r="D1144">
        <v>275</v>
      </c>
      <c r="E1144">
        <f>SUM(Details[[#This Row],[Actual_Cost]],Details[[#This Row],[Profit]])</f>
        <v>287</v>
      </c>
      <c r="F1144">
        <v>5</v>
      </c>
      <c r="G1144">
        <f>PRODUCT(Details[[#This Row],[Selling_Cost]],Details[[#This Row],[Quantity]])</f>
        <v>1435</v>
      </c>
      <c r="H1144" t="s">
        <v>8</v>
      </c>
      <c r="I1144" t="s">
        <v>58</v>
      </c>
      <c r="J1144" t="s">
        <v>10</v>
      </c>
      <c r="K1144" t="s">
        <v>552</v>
      </c>
      <c r="L1144" t="s">
        <v>541</v>
      </c>
    </row>
    <row r="1145" spans="1:12" x14ac:dyDescent="0.3">
      <c r="A1145" t="s">
        <v>151</v>
      </c>
      <c r="B1145">
        <v>133</v>
      </c>
      <c r="C1145">
        <v>12</v>
      </c>
      <c r="D1145">
        <v>665</v>
      </c>
      <c r="E1145">
        <f>SUM(Details[[#This Row],[Actual_Cost]],Details[[#This Row],[Profit]])</f>
        <v>677</v>
      </c>
      <c r="F1145">
        <v>5</v>
      </c>
      <c r="G1145">
        <f>PRODUCT(Details[[#This Row],[Selling_Cost]],Details[[#This Row],[Quantity]])</f>
        <v>3385</v>
      </c>
      <c r="H1145" t="s">
        <v>8</v>
      </c>
      <c r="I1145" t="s">
        <v>29</v>
      </c>
      <c r="J1145" t="s">
        <v>42</v>
      </c>
      <c r="K1145" t="s">
        <v>587</v>
      </c>
      <c r="L1145" t="s">
        <v>565</v>
      </c>
    </row>
    <row r="1146" spans="1:12" x14ac:dyDescent="0.3">
      <c r="A1146" t="s">
        <v>233</v>
      </c>
      <c r="B1146">
        <v>200</v>
      </c>
      <c r="C1146">
        <v>13</v>
      </c>
      <c r="D1146">
        <v>1000</v>
      </c>
      <c r="E1146">
        <f>SUM(Details[[#This Row],[Actual_Cost]],Details[[#This Row],[Profit]])</f>
        <v>1013</v>
      </c>
      <c r="F1146">
        <v>5</v>
      </c>
      <c r="G1146">
        <f>PRODUCT(Details[[#This Row],[Selling_Cost]],Details[[#This Row],[Quantity]])</f>
        <v>5065</v>
      </c>
      <c r="H1146" t="s">
        <v>13</v>
      </c>
      <c r="I1146" t="s">
        <v>14</v>
      </c>
      <c r="J1146" t="s">
        <v>10</v>
      </c>
      <c r="K1146" t="s">
        <v>548</v>
      </c>
      <c r="L1146" t="s">
        <v>546</v>
      </c>
    </row>
    <row r="1147" spans="1:12" x14ac:dyDescent="0.3">
      <c r="A1147" t="s">
        <v>298</v>
      </c>
      <c r="B1147">
        <v>39</v>
      </c>
      <c r="C1147">
        <v>14</v>
      </c>
      <c r="D1147">
        <v>195</v>
      </c>
      <c r="E1147">
        <f>SUM(Details[[#This Row],[Actual_Cost]],Details[[#This Row],[Profit]])</f>
        <v>209</v>
      </c>
      <c r="F1147">
        <v>5</v>
      </c>
      <c r="G1147">
        <f>PRODUCT(Details[[#This Row],[Selling_Cost]],Details[[#This Row],[Quantity]])</f>
        <v>1045</v>
      </c>
      <c r="H1147" t="s">
        <v>8</v>
      </c>
      <c r="I1147" t="s">
        <v>69</v>
      </c>
      <c r="J1147" t="s">
        <v>10</v>
      </c>
      <c r="K1147" t="s">
        <v>539</v>
      </c>
      <c r="L1147" t="s">
        <v>546</v>
      </c>
    </row>
    <row r="1148" spans="1:12" x14ac:dyDescent="0.3">
      <c r="A1148" t="s">
        <v>102</v>
      </c>
      <c r="B1148">
        <v>46</v>
      </c>
      <c r="C1148">
        <v>14</v>
      </c>
      <c r="D1148">
        <v>230</v>
      </c>
      <c r="E1148">
        <f>SUM(Details[[#This Row],[Actual_Cost]],Details[[#This Row],[Profit]])</f>
        <v>244</v>
      </c>
      <c r="F1148">
        <v>5</v>
      </c>
      <c r="G1148">
        <f>PRODUCT(Details[[#This Row],[Selling_Cost]],Details[[#This Row],[Quantity]])</f>
        <v>1220</v>
      </c>
      <c r="H1148" t="s">
        <v>8</v>
      </c>
      <c r="I1148" t="s">
        <v>58</v>
      </c>
      <c r="J1148" t="s">
        <v>42</v>
      </c>
      <c r="K1148" t="s">
        <v>552</v>
      </c>
      <c r="L1148" t="s">
        <v>554</v>
      </c>
    </row>
    <row r="1149" spans="1:12" x14ac:dyDescent="0.3">
      <c r="A1149" t="s">
        <v>273</v>
      </c>
      <c r="B1149">
        <v>46</v>
      </c>
      <c r="C1149">
        <v>14</v>
      </c>
      <c r="D1149">
        <v>230</v>
      </c>
      <c r="E1149">
        <f>SUM(Details[[#This Row],[Actual_Cost]],Details[[#This Row],[Profit]])</f>
        <v>244</v>
      </c>
      <c r="F1149">
        <v>5</v>
      </c>
      <c r="G1149">
        <f>PRODUCT(Details[[#This Row],[Selling_Cost]],Details[[#This Row],[Quantity]])</f>
        <v>1220</v>
      </c>
      <c r="H1149" t="s">
        <v>8</v>
      </c>
      <c r="I1149" t="s">
        <v>58</v>
      </c>
      <c r="J1149" t="s">
        <v>10</v>
      </c>
      <c r="K1149" t="s">
        <v>641</v>
      </c>
      <c r="L1149" t="s">
        <v>541</v>
      </c>
    </row>
    <row r="1150" spans="1:12" x14ac:dyDescent="0.3">
      <c r="A1150" t="s">
        <v>466</v>
      </c>
      <c r="B1150">
        <v>47</v>
      </c>
      <c r="C1150">
        <v>15</v>
      </c>
      <c r="D1150">
        <v>235</v>
      </c>
      <c r="E1150">
        <f>SUM(Details[[#This Row],[Actual_Cost]],Details[[#This Row],[Profit]])</f>
        <v>250</v>
      </c>
      <c r="F1150">
        <v>5</v>
      </c>
      <c r="G1150">
        <f>PRODUCT(Details[[#This Row],[Selling_Cost]],Details[[#This Row],[Quantity]])</f>
        <v>1250</v>
      </c>
      <c r="H1150" t="s">
        <v>8</v>
      </c>
      <c r="I1150" t="s">
        <v>9</v>
      </c>
      <c r="J1150" t="s">
        <v>42</v>
      </c>
      <c r="K1150" t="s">
        <v>607</v>
      </c>
      <c r="L1150" t="s">
        <v>544</v>
      </c>
    </row>
    <row r="1151" spans="1:12" x14ac:dyDescent="0.3">
      <c r="A1151" t="s">
        <v>221</v>
      </c>
      <c r="B1151">
        <v>125</v>
      </c>
      <c r="C1151">
        <v>15</v>
      </c>
      <c r="D1151">
        <v>625</v>
      </c>
      <c r="E1151">
        <f>SUM(Details[[#This Row],[Actual_Cost]],Details[[#This Row],[Profit]])</f>
        <v>640</v>
      </c>
      <c r="F1151">
        <v>5</v>
      </c>
      <c r="G1151">
        <f>PRODUCT(Details[[#This Row],[Selling_Cost]],Details[[#This Row],[Quantity]])</f>
        <v>3200</v>
      </c>
      <c r="H1151" t="s">
        <v>8</v>
      </c>
      <c r="I1151" t="s">
        <v>61</v>
      </c>
      <c r="J1151" t="s">
        <v>125</v>
      </c>
      <c r="K1151" t="s">
        <v>543</v>
      </c>
      <c r="L1151" t="s">
        <v>550</v>
      </c>
    </row>
    <row r="1152" spans="1:12" x14ac:dyDescent="0.3">
      <c r="A1152" t="s">
        <v>399</v>
      </c>
      <c r="B1152">
        <v>140</v>
      </c>
      <c r="C1152">
        <v>15</v>
      </c>
      <c r="D1152">
        <v>700</v>
      </c>
      <c r="E1152">
        <f>SUM(Details[[#This Row],[Actual_Cost]],Details[[#This Row],[Profit]])</f>
        <v>715</v>
      </c>
      <c r="F1152">
        <v>5</v>
      </c>
      <c r="G1152">
        <f>PRODUCT(Details[[#This Row],[Selling_Cost]],Details[[#This Row],[Quantity]])</f>
        <v>3575</v>
      </c>
      <c r="H1152" t="s">
        <v>8</v>
      </c>
      <c r="I1152" t="s">
        <v>29</v>
      </c>
      <c r="J1152" t="s">
        <v>18</v>
      </c>
      <c r="K1152" t="s">
        <v>548</v>
      </c>
      <c r="L1152" t="s">
        <v>567</v>
      </c>
    </row>
    <row r="1153" spans="1:12" x14ac:dyDescent="0.3">
      <c r="A1153" t="s">
        <v>355</v>
      </c>
      <c r="B1153">
        <v>670</v>
      </c>
      <c r="C1153">
        <v>15</v>
      </c>
      <c r="D1153">
        <v>3350</v>
      </c>
      <c r="E1153">
        <f>SUM(Details[[#This Row],[Actual_Cost]],Details[[#This Row],[Profit]])</f>
        <v>3365</v>
      </c>
      <c r="F1153">
        <v>5</v>
      </c>
      <c r="G1153">
        <f>PRODUCT(Details[[#This Row],[Selling_Cost]],Details[[#This Row],[Quantity]])</f>
        <v>16825</v>
      </c>
      <c r="H1153" t="s">
        <v>16</v>
      </c>
      <c r="I1153" t="s">
        <v>17</v>
      </c>
      <c r="J1153" t="s">
        <v>42</v>
      </c>
      <c r="K1153" t="s">
        <v>569</v>
      </c>
      <c r="L1153" t="s">
        <v>554</v>
      </c>
    </row>
    <row r="1154" spans="1:12" x14ac:dyDescent="0.3">
      <c r="A1154" t="s">
        <v>213</v>
      </c>
      <c r="B1154">
        <v>52</v>
      </c>
      <c r="C1154">
        <v>18</v>
      </c>
      <c r="D1154">
        <v>260</v>
      </c>
      <c r="E1154">
        <f>SUM(Details[[#This Row],[Actual_Cost]],Details[[#This Row],[Profit]])</f>
        <v>278</v>
      </c>
      <c r="F1154">
        <v>5</v>
      </c>
      <c r="G1154">
        <f>PRODUCT(Details[[#This Row],[Selling_Cost]],Details[[#This Row],[Quantity]])</f>
        <v>1390</v>
      </c>
      <c r="H1154" t="s">
        <v>8</v>
      </c>
      <c r="I1154" t="s">
        <v>69</v>
      </c>
      <c r="J1154" t="s">
        <v>42</v>
      </c>
      <c r="K1154" t="s">
        <v>661</v>
      </c>
      <c r="L1154" t="s">
        <v>567</v>
      </c>
    </row>
    <row r="1155" spans="1:12" x14ac:dyDescent="0.3">
      <c r="A1155" t="s">
        <v>379</v>
      </c>
      <c r="B1155">
        <v>352</v>
      </c>
      <c r="C1155">
        <v>18</v>
      </c>
      <c r="D1155">
        <v>1760</v>
      </c>
      <c r="E1155">
        <f>SUM(Details[[#This Row],[Actual_Cost]],Details[[#This Row],[Profit]])</f>
        <v>1778</v>
      </c>
      <c r="F1155">
        <v>5</v>
      </c>
      <c r="G1155">
        <f>PRODUCT(Details[[#This Row],[Selling_Cost]],Details[[#This Row],[Quantity]])</f>
        <v>8890</v>
      </c>
      <c r="H1155" t="s">
        <v>8</v>
      </c>
      <c r="I1155" t="s">
        <v>41</v>
      </c>
      <c r="J1155" t="s">
        <v>42</v>
      </c>
      <c r="K1155" t="s">
        <v>552</v>
      </c>
      <c r="L1155" t="s">
        <v>546</v>
      </c>
    </row>
    <row r="1156" spans="1:12" x14ac:dyDescent="0.3">
      <c r="A1156" t="s">
        <v>220</v>
      </c>
      <c r="B1156">
        <v>41</v>
      </c>
      <c r="C1156">
        <v>19</v>
      </c>
      <c r="D1156">
        <v>205</v>
      </c>
      <c r="E1156">
        <f>SUM(Details[[#This Row],[Actual_Cost]],Details[[#This Row],[Profit]])</f>
        <v>224</v>
      </c>
      <c r="F1156">
        <v>5</v>
      </c>
      <c r="G1156">
        <f>PRODUCT(Details[[#This Row],[Selling_Cost]],Details[[#This Row],[Quantity]])</f>
        <v>1120</v>
      </c>
      <c r="H1156" t="s">
        <v>8</v>
      </c>
      <c r="I1156" t="s">
        <v>48</v>
      </c>
      <c r="J1156" t="s">
        <v>42</v>
      </c>
      <c r="K1156" t="s">
        <v>711</v>
      </c>
      <c r="L1156" t="s">
        <v>544</v>
      </c>
    </row>
    <row r="1157" spans="1:12" x14ac:dyDescent="0.3">
      <c r="A1157" t="s">
        <v>467</v>
      </c>
      <c r="B1157">
        <v>146</v>
      </c>
      <c r="C1157">
        <v>19</v>
      </c>
      <c r="D1157">
        <v>730</v>
      </c>
      <c r="E1157">
        <f>SUM(Details[[#This Row],[Actual_Cost]],Details[[#This Row],[Profit]])</f>
        <v>749</v>
      </c>
      <c r="F1157">
        <v>5</v>
      </c>
      <c r="G1157">
        <f>PRODUCT(Details[[#This Row],[Selling_Cost]],Details[[#This Row],[Quantity]])</f>
        <v>3745</v>
      </c>
      <c r="H1157" t="s">
        <v>8</v>
      </c>
      <c r="I1157" t="s">
        <v>29</v>
      </c>
      <c r="J1157" t="s">
        <v>10</v>
      </c>
      <c r="K1157" t="s">
        <v>552</v>
      </c>
      <c r="L1157" t="s">
        <v>541</v>
      </c>
    </row>
    <row r="1158" spans="1:12" x14ac:dyDescent="0.3">
      <c r="A1158" t="s">
        <v>172</v>
      </c>
      <c r="B1158">
        <v>170</v>
      </c>
      <c r="C1158">
        <v>19</v>
      </c>
      <c r="D1158">
        <v>850</v>
      </c>
      <c r="E1158">
        <f>SUM(Details[[#This Row],[Actual_Cost]],Details[[#This Row],[Profit]])</f>
        <v>869</v>
      </c>
      <c r="F1158">
        <v>5</v>
      </c>
      <c r="G1158">
        <f>PRODUCT(Details[[#This Row],[Selling_Cost]],Details[[#This Row],[Quantity]])</f>
        <v>4345</v>
      </c>
      <c r="H1158" t="s">
        <v>8</v>
      </c>
      <c r="I1158" t="s">
        <v>46</v>
      </c>
      <c r="J1158" t="s">
        <v>18</v>
      </c>
      <c r="K1158" t="s">
        <v>587</v>
      </c>
      <c r="L1158" t="s">
        <v>550</v>
      </c>
    </row>
    <row r="1159" spans="1:12" x14ac:dyDescent="0.3">
      <c r="A1159" t="s">
        <v>468</v>
      </c>
      <c r="B1159">
        <v>68</v>
      </c>
      <c r="C1159">
        <v>20</v>
      </c>
      <c r="D1159">
        <v>340</v>
      </c>
      <c r="E1159">
        <f>SUM(Details[[#This Row],[Actual_Cost]],Details[[#This Row],[Profit]])</f>
        <v>360</v>
      </c>
      <c r="F1159">
        <v>5</v>
      </c>
      <c r="G1159">
        <f>PRODUCT(Details[[#This Row],[Selling_Cost]],Details[[#This Row],[Quantity]])</f>
        <v>1800</v>
      </c>
      <c r="H1159" t="s">
        <v>8</v>
      </c>
      <c r="I1159" t="s">
        <v>48</v>
      </c>
      <c r="J1159" t="s">
        <v>42</v>
      </c>
      <c r="K1159" t="s">
        <v>711</v>
      </c>
      <c r="L1159" t="s">
        <v>565</v>
      </c>
    </row>
    <row r="1160" spans="1:12" x14ac:dyDescent="0.3">
      <c r="A1160" t="s">
        <v>233</v>
      </c>
      <c r="B1160">
        <v>110</v>
      </c>
      <c r="C1160">
        <v>20</v>
      </c>
      <c r="D1160">
        <v>550</v>
      </c>
      <c r="E1160">
        <f>SUM(Details[[#This Row],[Actual_Cost]],Details[[#This Row],[Profit]])</f>
        <v>570</v>
      </c>
      <c r="F1160">
        <v>5</v>
      </c>
      <c r="G1160">
        <f>PRODUCT(Details[[#This Row],[Selling_Cost]],Details[[#This Row],[Quantity]])</f>
        <v>2850</v>
      </c>
      <c r="H1160" t="s">
        <v>8</v>
      </c>
      <c r="I1160" t="s">
        <v>29</v>
      </c>
      <c r="J1160" t="s">
        <v>42</v>
      </c>
      <c r="K1160" t="s">
        <v>548</v>
      </c>
      <c r="L1160" t="s">
        <v>546</v>
      </c>
    </row>
    <row r="1161" spans="1:12" x14ac:dyDescent="0.3">
      <c r="A1161" t="s">
        <v>250</v>
      </c>
      <c r="B1161">
        <v>96</v>
      </c>
      <c r="C1161">
        <v>22</v>
      </c>
      <c r="D1161">
        <v>480</v>
      </c>
      <c r="E1161">
        <f>SUM(Details[[#This Row],[Actual_Cost]],Details[[#This Row],[Profit]])</f>
        <v>502</v>
      </c>
      <c r="F1161">
        <v>5</v>
      </c>
      <c r="G1161">
        <f>PRODUCT(Details[[#This Row],[Selling_Cost]],Details[[#This Row],[Quantity]])</f>
        <v>2510</v>
      </c>
      <c r="H1161" t="s">
        <v>8</v>
      </c>
      <c r="I1161" t="s">
        <v>29</v>
      </c>
      <c r="J1161" t="s">
        <v>27</v>
      </c>
      <c r="K1161" t="s">
        <v>607</v>
      </c>
      <c r="L1161" t="s">
        <v>614</v>
      </c>
    </row>
    <row r="1162" spans="1:12" x14ac:dyDescent="0.3">
      <c r="A1162" t="s">
        <v>121</v>
      </c>
      <c r="B1162">
        <v>120</v>
      </c>
      <c r="C1162">
        <v>23</v>
      </c>
      <c r="D1162">
        <v>600</v>
      </c>
      <c r="E1162">
        <f>SUM(Details[[#This Row],[Actual_Cost]],Details[[#This Row],[Profit]])</f>
        <v>623</v>
      </c>
      <c r="F1162">
        <v>5</v>
      </c>
      <c r="G1162">
        <f>PRODUCT(Details[[#This Row],[Selling_Cost]],Details[[#This Row],[Quantity]])</f>
        <v>3115</v>
      </c>
      <c r="H1162" t="s">
        <v>8</v>
      </c>
      <c r="I1162" t="s">
        <v>29</v>
      </c>
      <c r="J1162" t="s">
        <v>10</v>
      </c>
      <c r="K1162" t="s">
        <v>632</v>
      </c>
      <c r="L1162" t="s">
        <v>546</v>
      </c>
    </row>
    <row r="1163" spans="1:12" x14ac:dyDescent="0.3">
      <c r="A1163" t="s">
        <v>360</v>
      </c>
      <c r="B1163">
        <v>257</v>
      </c>
      <c r="C1163">
        <v>23</v>
      </c>
      <c r="D1163">
        <v>1285</v>
      </c>
      <c r="E1163">
        <f>SUM(Details[[#This Row],[Actual_Cost]],Details[[#This Row],[Profit]])</f>
        <v>1308</v>
      </c>
      <c r="F1163">
        <v>5</v>
      </c>
      <c r="G1163">
        <f>PRODUCT(Details[[#This Row],[Selling_Cost]],Details[[#This Row],[Quantity]])</f>
        <v>6540</v>
      </c>
      <c r="H1163" t="s">
        <v>8</v>
      </c>
      <c r="I1163" t="s">
        <v>48</v>
      </c>
      <c r="J1163" t="s">
        <v>10</v>
      </c>
      <c r="K1163" t="s">
        <v>626</v>
      </c>
      <c r="L1163" t="s">
        <v>565</v>
      </c>
    </row>
    <row r="1164" spans="1:12" x14ac:dyDescent="0.3">
      <c r="A1164" t="s">
        <v>256</v>
      </c>
      <c r="B1164">
        <v>2115</v>
      </c>
      <c r="C1164">
        <v>23</v>
      </c>
      <c r="D1164">
        <v>10575</v>
      </c>
      <c r="E1164">
        <f>SUM(Details[[#This Row],[Actual_Cost]],Details[[#This Row],[Profit]])</f>
        <v>10598</v>
      </c>
      <c r="F1164">
        <v>5</v>
      </c>
      <c r="G1164">
        <f>PRODUCT(Details[[#This Row],[Selling_Cost]],Details[[#This Row],[Quantity]])</f>
        <v>52990</v>
      </c>
      <c r="H1164" t="s">
        <v>16</v>
      </c>
      <c r="I1164" t="s">
        <v>23</v>
      </c>
      <c r="J1164" t="s">
        <v>10</v>
      </c>
      <c r="K1164" t="s">
        <v>539</v>
      </c>
      <c r="L1164" t="s">
        <v>567</v>
      </c>
    </row>
    <row r="1165" spans="1:12" x14ac:dyDescent="0.3">
      <c r="A1165" t="s">
        <v>73</v>
      </c>
      <c r="B1165">
        <v>57</v>
      </c>
      <c r="C1165">
        <v>24</v>
      </c>
      <c r="D1165">
        <v>285</v>
      </c>
      <c r="E1165">
        <f>SUM(Details[[#This Row],[Actual_Cost]],Details[[#This Row],[Profit]])</f>
        <v>309</v>
      </c>
      <c r="F1165">
        <v>5</v>
      </c>
      <c r="G1165">
        <f>PRODUCT(Details[[#This Row],[Selling_Cost]],Details[[#This Row],[Quantity]])</f>
        <v>1545</v>
      </c>
      <c r="H1165" t="s">
        <v>8</v>
      </c>
      <c r="I1165" t="s">
        <v>69</v>
      </c>
      <c r="J1165" t="s">
        <v>10</v>
      </c>
      <c r="K1165" t="s">
        <v>626</v>
      </c>
      <c r="L1165" t="s">
        <v>544</v>
      </c>
    </row>
    <row r="1166" spans="1:12" x14ac:dyDescent="0.3">
      <c r="A1166" t="s">
        <v>101</v>
      </c>
      <c r="B1166">
        <v>50</v>
      </c>
      <c r="C1166">
        <v>25</v>
      </c>
      <c r="D1166">
        <v>250</v>
      </c>
      <c r="E1166">
        <f>SUM(Details[[#This Row],[Actual_Cost]],Details[[#This Row],[Profit]])</f>
        <v>275</v>
      </c>
      <c r="F1166">
        <v>5</v>
      </c>
      <c r="G1166">
        <f>PRODUCT(Details[[#This Row],[Selling_Cost]],Details[[#This Row],[Quantity]])</f>
        <v>1375</v>
      </c>
      <c r="H1166" t="s">
        <v>8</v>
      </c>
      <c r="I1166" t="s">
        <v>29</v>
      </c>
      <c r="J1166" t="s">
        <v>10</v>
      </c>
      <c r="K1166" t="s">
        <v>548</v>
      </c>
      <c r="L1166" t="s">
        <v>544</v>
      </c>
    </row>
    <row r="1167" spans="1:12" x14ac:dyDescent="0.3">
      <c r="A1167" t="s">
        <v>398</v>
      </c>
      <c r="B1167">
        <v>70</v>
      </c>
      <c r="C1167">
        <v>26</v>
      </c>
      <c r="D1167">
        <v>350</v>
      </c>
      <c r="E1167">
        <f>SUM(Details[[#This Row],[Actual_Cost]],Details[[#This Row],[Profit]])</f>
        <v>376</v>
      </c>
      <c r="F1167">
        <v>5</v>
      </c>
      <c r="G1167">
        <f>PRODUCT(Details[[#This Row],[Selling_Cost]],Details[[#This Row],[Quantity]])</f>
        <v>1880</v>
      </c>
      <c r="H1167" t="s">
        <v>8</v>
      </c>
      <c r="I1167" t="s">
        <v>48</v>
      </c>
      <c r="J1167" t="s">
        <v>10</v>
      </c>
      <c r="K1167" t="s">
        <v>552</v>
      </c>
      <c r="L1167" t="s">
        <v>563</v>
      </c>
    </row>
    <row r="1168" spans="1:12" x14ac:dyDescent="0.3">
      <c r="A1168" t="s">
        <v>385</v>
      </c>
      <c r="B1168">
        <v>64</v>
      </c>
      <c r="C1168">
        <v>27</v>
      </c>
      <c r="D1168">
        <v>320</v>
      </c>
      <c r="E1168">
        <f>SUM(Details[[#This Row],[Actual_Cost]],Details[[#This Row],[Profit]])</f>
        <v>347</v>
      </c>
      <c r="F1168">
        <v>5</v>
      </c>
      <c r="G1168">
        <f>PRODUCT(Details[[#This Row],[Selling_Cost]],Details[[#This Row],[Quantity]])</f>
        <v>1735</v>
      </c>
      <c r="H1168" t="s">
        <v>8</v>
      </c>
      <c r="I1168" t="s">
        <v>48</v>
      </c>
      <c r="J1168" t="s">
        <v>18</v>
      </c>
      <c r="K1168" t="s">
        <v>552</v>
      </c>
      <c r="L1168" t="s">
        <v>563</v>
      </c>
    </row>
    <row r="1169" spans="1:12" x14ac:dyDescent="0.3">
      <c r="A1169" t="s">
        <v>26</v>
      </c>
      <c r="B1169">
        <v>76</v>
      </c>
      <c r="C1169">
        <v>27</v>
      </c>
      <c r="D1169">
        <v>380</v>
      </c>
      <c r="E1169">
        <f>SUM(Details[[#This Row],[Actual_Cost]],Details[[#This Row],[Profit]])</f>
        <v>407</v>
      </c>
      <c r="F1169">
        <v>5</v>
      </c>
      <c r="G1169">
        <f>PRODUCT(Details[[#This Row],[Selling_Cost]],Details[[#This Row],[Quantity]])</f>
        <v>2035</v>
      </c>
      <c r="H1169" t="s">
        <v>8</v>
      </c>
      <c r="I1169" t="s">
        <v>29</v>
      </c>
      <c r="J1169" t="s">
        <v>10</v>
      </c>
      <c r="K1169" t="s">
        <v>552</v>
      </c>
      <c r="L1169" t="s">
        <v>554</v>
      </c>
    </row>
    <row r="1170" spans="1:12" x14ac:dyDescent="0.3">
      <c r="A1170" t="s">
        <v>377</v>
      </c>
      <c r="B1170">
        <v>62</v>
      </c>
      <c r="C1170">
        <v>28</v>
      </c>
      <c r="D1170">
        <v>310</v>
      </c>
      <c r="E1170">
        <f>SUM(Details[[#This Row],[Actual_Cost]],Details[[#This Row],[Profit]])</f>
        <v>338</v>
      </c>
      <c r="F1170">
        <v>5</v>
      </c>
      <c r="G1170">
        <f>PRODUCT(Details[[#This Row],[Selling_Cost]],Details[[#This Row],[Quantity]])</f>
        <v>1690</v>
      </c>
      <c r="H1170" t="s">
        <v>8</v>
      </c>
      <c r="I1170" t="s">
        <v>48</v>
      </c>
      <c r="J1170" t="s">
        <v>18</v>
      </c>
      <c r="K1170" t="s">
        <v>711</v>
      </c>
      <c r="L1170" t="s">
        <v>541</v>
      </c>
    </row>
    <row r="1171" spans="1:12" x14ac:dyDescent="0.3">
      <c r="A1171" t="s">
        <v>224</v>
      </c>
      <c r="B1171">
        <v>90</v>
      </c>
      <c r="C1171">
        <v>29</v>
      </c>
      <c r="D1171">
        <v>450</v>
      </c>
      <c r="E1171">
        <f>SUM(Details[[#This Row],[Actual_Cost]],Details[[#This Row],[Profit]])</f>
        <v>479</v>
      </c>
      <c r="F1171">
        <v>5</v>
      </c>
      <c r="G1171">
        <f>PRODUCT(Details[[#This Row],[Selling_Cost]],Details[[#This Row],[Quantity]])</f>
        <v>2395</v>
      </c>
      <c r="H1171" t="s">
        <v>8</v>
      </c>
      <c r="I1171" t="s">
        <v>46</v>
      </c>
      <c r="J1171" t="s">
        <v>10</v>
      </c>
      <c r="K1171" t="s">
        <v>596</v>
      </c>
      <c r="L1171" t="s">
        <v>567</v>
      </c>
    </row>
    <row r="1172" spans="1:12" x14ac:dyDescent="0.3">
      <c r="A1172" t="s">
        <v>277</v>
      </c>
      <c r="B1172">
        <v>151</v>
      </c>
      <c r="C1172">
        <v>29</v>
      </c>
      <c r="D1172">
        <v>755</v>
      </c>
      <c r="E1172">
        <f>SUM(Details[[#This Row],[Actual_Cost]],Details[[#This Row],[Profit]])</f>
        <v>784</v>
      </c>
      <c r="F1172">
        <v>5</v>
      </c>
      <c r="G1172">
        <f>PRODUCT(Details[[#This Row],[Selling_Cost]],Details[[#This Row],[Quantity]])</f>
        <v>3920</v>
      </c>
      <c r="H1172" t="s">
        <v>8</v>
      </c>
      <c r="I1172" t="s">
        <v>48</v>
      </c>
      <c r="J1172" t="s">
        <v>125</v>
      </c>
      <c r="K1172" t="s">
        <v>587</v>
      </c>
      <c r="L1172" t="s">
        <v>546</v>
      </c>
    </row>
    <row r="1173" spans="1:12" x14ac:dyDescent="0.3">
      <c r="A1173" t="s">
        <v>186</v>
      </c>
      <c r="B1173">
        <v>107</v>
      </c>
      <c r="C1173">
        <v>31</v>
      </c>
      <c r="D1173">
        <v>535</v>
      </c>
      <c r="E1173">
        <f>SUM(Details[[#This Row],[Actual_Cost]],Details[[#This Row],[Profit]])</f>
        <v>566</v>
      </c>
      <c r="F1173">
        <v>5</v>
      </c>
      <c r="G1173">
        <f>PRODUCT(Details[[#This Row],[Selling_Cost]],Details[[#This Row],[Quantity]])</f>
        <v>2830</v>
      </c>
      <c r="H1173" t="s">
        <v>8</v>
      </c>
      <c r="I1173" t="s">
        <v>46</v>
      </c>
      <c r="J1173" t="s">
        <v>10</v>
      </c>
      <c r="K1173" t="s">
        <v>539</v>
      </c>
      <c r="L1173" t="s">
        <v>554</v>
      </c>
    </row>
    <row r="1174" spans="1:12" x14ac:dyDescent="0.3">
      <c r="A1174" t="s">
        <v>469</v>
      </c>
      <c r="B1174">
        <v>193</v>
      </c>
      <c r="C1174">
        <v>33</v>
      </c>
      <c r="D1174">
        <v>965</v>
      </c>
      <c r="E1174">
        <f>SUM(Details[[#This Row],[Actual_Cost]],Details[[#This Row],[Profit]])</f>
        <v>998</v>
      </c>
      <c r="F1174">
        <v>5</v>
      </c>
      <c r="G1174">
        <f>PRODUCT(Details[[#This Row],[Selling_Cost]],Details[[#This Row],[Quantity]])</f>
        <v>4990</v>
      </c>
      <c r="H1174" t="s">
        <v>13</v>
      </c>
      <c r="I1174" t="s">
        <v>55</v>
      </c>
      <c r="J1174" t="s">
        <v>10</v>
      </c>
      <c r="K1174" t="s">
        <v>607</v>
      </c>
      <c r="L1174" t="s">
        <v>541</v>
      </c>
    </row>
    <row r="1175" spans="1:12" x14ac:dyDescent="0.3">
      <c r="A1175" t="s">
        <v>251</v>
      </c>
      <c r="B1175">
        <v>269</v>
      </c>
      <c r="C1175">
        <v>33</v>
      </c>
      <c r="D1175">
        <v>1345</v>
      </c>
      <c r="E1175">
        <f>SUM(Details[[#This Row],[Actual_Cost]],Details[[#This Row],[Profit]])</f>
        <v>1378</v>
      </c>
      <c r="F1175">
        <v>5</v>
      </c>
      <c r="G1175">
        <f>PRODUCT(Details[[#This Row],[Selling_Cost]],Details[[#This Row],[Quantity]])</f>
        <v>6890</v>
      </c>
      <c r="H1175" t="s">
        <v>16</v>
      </c>
      <c r="I1175" t="s">
        <v>23</v>
      </c>
      <c r="J1175" t="s">
        <v>42</v>
      </c>
      <c r="K1175" t="s">
        <v>569</v>
      </c>
      <c r="L1175" t="s">
        <v>567</v>
      </c>
    </row>
    <row r="1176" spans="1:12" x14ac:dyDescent="0.3">
      <c r="A1176" t="s">
        <v>470</v>
      </c>
      <c r="B1176">
        <v>83</v>
      </c>
      <c r="C1176">
        <v>34</v>
      </c>
      <c r="D1176">
        <v>415</v>
      </c>
      <c r="E1176">
        <f>SUM(Details[[#This Row],[Actual_Cost]],Details[[#This Row],[Profit]])</f>
        <v>449</v>
      </c>
      <c r="F1176">
        <v>5</v>
      </c>
      <c r="G1176">
        <f>PRODUCT(Details[[#This Row],[Selling_Cost]],Details[[#This Row],[Quantity]])</f>
        <v>2245</v>
      </c>
      <c r="H1176" t="s">
        <v>8</v>
      </c>
      <c r="I1176" t="s">
        <v>61</v>
      </c>
      <c r="J1176" t="s">
        <v>42</v>
      </c>
      <c r="K1176" t="s">
        <v>592</v>
      </c>
      <c r="L1176" t="s">
        <v>544</v>
      </c>
    </row>
    <row r="1177" spans="1:12" x14ac:dyDescent="0.3">
      <c r="A1177" t="s">
        <v>133</v>
      </c>
      <c r="B1177">
        <v>111</v>
      </c>
      <c r="C1177">
        <v>35</v>
      </c>
      <c r="D1177">
        <v>555</v>
      </c>
      <c r="E1177">
        <f>SUM(Details[[#This Row],[Actual_Cost]],Details[[#This Row],[Profit]])</f>
        <v>590</v>
      </c>
      <c r="F1177">
        <v>5</v>
      </c>
      <c r="G1177">
        <f>PRODUCT(Details[[#This Row],[Selling_Cost]],Details[[#This Row],[Quantity]])</f>
        <v>2950</v>
      </c>
      <c r="H1177" t="s">
        <v>8</v>
      </c>
      <c r="I1177" t="s">
        <v>61</v>
      </c>
      <c r="J1177" t="s">
        <v>10</v>
      </c>
      <c r="K1177" t="s">
        <v>632</v>
      </c>
      <c r="L1177" t="s">
        <v>544</v>
      </c>
    </row>
    <row r="1178" spans="1:12" x14ac:dyDescent="0.3">
      <c r="A1178" t="s">
        <v>86</v>
      </c>
      <c r="B1178">
        <v>222</v>
      </c>
      <c r="C1178">
        <v>35</v>
      </c>
      <c r="D1178">
        <v>1110</v>
      </c>
      <c r="E1178">
        <f>SUM(Details[[#This Row],[Actual_Cost]],Details[[#This Row],[Profit]])</f>
        <v>1145</v>
      </c>
      <c r="F1178">
        <v>5</v>
      </c>
      <c r="G1178">
        <f>PRODUCT(Details[[#This Row],[Selling_Cost]],Details[[#This Row],[Quantity]])</f>
        <v>5725</v>
      </c>
      <c r="H1178" t="s">
        <v>8</v>
      </c>
      <c r="I1178" t="s">
        <v>9</v>
      </c>
      <c r="J1178" t="s">
        <v>27</v>
      </c>
      <c r="K1178" t="s">
        <v>587</v>
      </c>
      <c r="L1178" t="s">
        <v>563</v>
      </c>
    </row>
    <row r="1179" spans="1:12" x14ac:dyDescent="0.3">
      <c r="A1179" t="s">
        <v>129</v>
      </c>
      <c r="B1179">
        <v>87</v>
      </c>
      <c r="C1179">
        <v>36</v>
      </c>
      <c r="D1179">
        <v>435</v>
      </c>
      <c r="E1179">
        <f>SUM(Details[[#This Row],[Actual_Cost]],Details[[#This Row],[Profit]])</f>
        <v>471</v>
      </c>
      <c r="F1179">
        <v>5</v>
      </c>
      <c r="G1179">
        <f>PRODUCT(Details[[#This Row],[Selling_Cost]],Details[[#This Row],[Quantity]])</f>
        <v>2355</v>
      </c>
      <c r="H1179" t="s">
        <v>8</v>
      </c>
      <c r="I1179" t="s">
        <v>29</v>
      </c>
      <c r="J1179" t="s">
        <v>27</v>
      </c>
      <c r="K1179" t="s">
        <v>561</v>
      </c>
      <c r="L1179" t="s">
        <v>546</v>
      </c>
    </row>
    <row r="1180" spans="1:12" x14ac:dyDescent="0.3">
      <c r="A1180" t="s">
        <v>392</v>
      </c>
      <c r="B1180">
        <v>156</v>
      </c>
      <c r="C1180">
        <v>36</v>
      </c>
      <c r="D1180">
        <v>780</v>
      </c>
      <c r="E1180">
        <f>SUM(Details[[#This Row],[Actual_Cost]],Details[[#This Row],[Profit]])</f>
        <v>816</v>
      </c>
      <c r="F1180">
        <v>5</v>
      </c>
      <c r="G1180">
        <f>PRODUCT(Details[[#This Row],[Selling_Cost]],Details[[#This Row],[Quantity]])</f>
        <v>4080</v>
      </c>
      <c r="H1180" t="s">
        <v>8</v>
      </c>
      <c r="I1180" t="s">
        <v>46</v>
      </c>
      <c r="J1180" t="s">
        <v>125</v>
      </c>
      <c r="K1180" t="s">
        <v>610</v>
      </c>
      <c r="L1180" t="s">
        <v>563</v>
      </c>
    </row>
    <row r="1181" spans="1:12" x14ac:dyDescent="0.3">
      <c r="A1181" t="s">
        <v>383</v>
      </c>
      <c r="B1181">
        <v>137</v>
      </c>
      <c r="C1181">
        <v>38</v>
      </c>
      <c r="D1181">
        <v>685</v>
      </c>
      <c r="E1181">
        <f>SUM(Details[[#This Row],[Actual_Cost]],Details[[#This Row],[Profit]])</f>
        <v>723</v>
      </c>
      <c r="F1181">
        <v>5</v>
      </c>
      <c r="G1181">
        <f>PRODUCT(Details[[#This Row],[Selling_Cost]],Details[[#This Row],[Quantity]])</f>
        <v>3615</v>
      </c>
      <c r="H1181" t="s">
        <v>8</v>
      </c>
      <c r="I1181" t="s">
        <v>48</v>
      </c>
      <c r="J1181" t="s">
        <v>42</v>
      </c>
      <c r="K1181" t="s">
        <v>569</v>
      </c>
      <c r="L1181" t="s">
        <v>546</v>
      </c>
    </row>
    <row r="1182" spans="1:12" x14ac:dyDescent="0.3">
      <c r="A1182" t="s">
        <v>471</v>
      </c>
      <c r="B1182">
        <v>278</v>
      </c>
      <c r="C1182">
        <v>39</v>
      </c>
      <c r="D1182">
        <v>1390</v>
      </c>
      <c r="E1182">
        <f>SUM(Details[[#This Row],[Actual_Cost]],Details[[#This Row],[Profit]])</f>
        <v>1429</v>
      </c>
      <c r="F1182">
        <v>5</v>
      </c>
      <c r="G1182">
        <f>PRODUCT(Details[[#This Row],[Selling_Cost]],Details[[#This Row],[Quantity]])</f>
        <v>7145</v>
      </c>
      <c r="H1182" t="s">
        <v>16</v>
      </c>
      <c r="I1182" t="s">
        <v>23</v>
      </c>
      <c r="J1182" t="s">
        <v>42</v>
      </c>
      <c r="K1182" t="s">
        <v>607</v>
      </c>
      <c r="L1182" t="s">
        <v>544</v>
      </c>
    </row>
    <row r="1183" spans="1:12" x14ac:dyDescent="0.3">
      <c r="A1183" t="s">
        <v>210</v>
      </c>
      <c r="B1183">
        <v>146</v>
      </c>
      <c r="C1183">
        <v>42</v>
      </c>
      <c r="D1183">
        <v>730</v>
      </c>
      <c r="E1183">
        <f>SUM(Details[[#This Row],[Actual_Cost]],Details[[#This Row],[Profit]])</f>
        <v>772</v>
      </c>
      <c r="F1183">
        <v>5</v>
      </c>
      <c r="G1183">
        <f>PRODUCT(Details[[#This Row],[Selling_Cost]],Details[[#This Row],[Quantity]])</f>
        <v>3860</v>
      </c>
      <c r="H1183" t="s">
        <v>8</v>
      </c>
      <c r="I1183" t="s">
        <v>48</v>
      </c>
      <c r="J1183" t="s">
        <v>18</v>
      </c>
      <c r="K1183" t="s">
        <v>569</v>
      </c>
      <c r="L1183" t="s">
        <v>567</v>
      </c>
    </row>
    <row r="1184" spans="1:12" x14ac:dyDescent="0.3">
      <c r="A1184" t="s">
        <v>149</v>
      </c>
      <c r="B1184">
        <v>119</v>
      </c>
      <c r="C1184">
        <v>43</v>
      </c>
      <c r="D1184">
        <v>595</v>
      </c>
      <c r="E1184">
        <f>SUM(Details[[#This Row],[Actual_Cost]],Details[[#This Row],[Profit]])</f>
        <v>638</v>
      </c>
      <c r="F1184">
        <v>5</v>
      </c>
      <c r="G1184">
        <f>PRODUCT(Details[[#This Row],[Selling_Cost]],Details[[#This Row],[Quantity]])</f>
        <v>3190</v>
      </c>
      <c r="H1184" t="s">
        <v>8</v>
      </c>
      <c r="I1184" t="s">
        <v>46</v>
      </c>
      <c r="J1184" t="s">
        <v>10</v>
      </c>
      <c r="K1184" t="s">
        <v>548</v>
      </c>
      <c r="L1184" t="s">
        <v>554</v>
      </c>
    </row>
    <row r="1185" spans="1:12" x14ac:dyDescent="0.3">
      <c r="A1185" t="s">
        <v>239</v>
      </c>
      <c r="B1185">
        <v>133</v>
      </c>
      <c r="C1185">
        <v>46</v>
      </c>
      <c r="D1185">
        <v>665</v>
      </c>
      <c r="E1185">
        <f>SUM(Details[[#This Row],[Actual_Cost]],Details[[#This Row],[Profit]])</f>
        <v>711</v>
      </c>
      <c r="F1185">
        <v>5</v>
      </c>
      <c r="G1185">
        <f>PRODUCT(Details[[#This Row],[Selling_Cost]],Details[[#This Row],[Quantity]])</f>
        <v>3555</v>
      </c>
      <c r="H1185" t="s">
        <v>8</v>
      </c>
      <c r="I1185" t="s">
        <v>61</v>
      </c>
      <c r="J1185" t="s">
        <v>125</v>
      </c>
      <c r="K1185" t="s">
        <v>552</v>
      </c>
      <c r="L1185" t="s">
        <v>541</v>
      </c>
    </row>
    <row r="1186" spans="1:12" x14ac:dyDescent="0.3">
      <c r="A1186" t="s">
        <v>221</v>
      </c>
      <c r="B1186">
        <v>259</v>
      </c>
      <c r="C1186">
        <v>47</v>
      </c>
      <c r="D1186">
        <v>1295</v>
      </c>
      <c r="E1186">
        <f>SUM(Details[[#This Row],[Actual_Cost]],Details[[#This Row],[Profit]])</f>
        <v>1342</v>
      </c>
      <c r="F1186">
        <v>5</v>
      </c>
      <c r="G1186">
        <f>PRODUCT(Details[[#This Row],[Selling_Cost]],Details[[#This Row],[Quantity]])</f>
        <v>6710</v>
      </c>
      <c r="H1186" t="s">
        <v>8</v>
      </c>
      <c r="I1186" t="s">
        <v>48</v>
      </c>
      <c r="J1186" t="s">
        <v>27</v>
      </c>
      <c r="K1186" t="s">
        <v>543</v>
      </c>
      <c r="L1186" t="s">
        <v>550</v>
      </c>
    </row>
    <row r="1187" spans="1:12" x14ac:dyDescent="0.3">
      <c r="A1187" t="s">
        <v>472</v>
      </c>
      <c r="B1187">
        <v>259</v>
      </c>
      <c r="C1187">
        <v>47</v>
      </c>
      <c r="D1187">
        <v>1295</v>
      </c>
      <c r="E1187">
        <f>SUM(Details[[#This Row],[Actual_Cost]],Details[[#This Row],[Profit]])</f>
        <v>1342</v>
      </c>
      <c r="F1187">
        <v>5</v>
      </c>
      <c r="G1187">
        <f>PRODUCT(Details[[#This Row],[Selling_Cost]],Details[[#This Row],[Quantity]])</f>
        <v>6710</v>
      </c>
      <c r="H1187" t="s">
        <v>8</v>
      </c>
      <c r="I1187" t="s">
        <v>48</v>
      </c>
      <c r="J1187" t="s">
        <v>18</v>
      </c>
      <c r="K1187" t="s">
        <v>552</v>
      </c>
      <c r="L1187" t="s">
        <v>563</v>
      </c>
    </row>
    <row r="1188" spans="1:12" x14ac:dyDescent="0.3">
      <c r="A1188" t="s">
        <v>118</v>
      </c>
      <c r="B1188">
        <v>227</v>
      </c>
      <c r="C1188">
        <v>48</v>
      </c>
      <c r="D1188">
        <v>1135</v>
      </c>
      <c r="E1188">
        <f>SUM(Details[[#This Row],[Actual_Cost]],Details[[#This Row],[Profit]])</f>
        <v>1183</v>
      </c>
      <c r="F1188">
        <v>5</v>
      </c>
      <c r="G1188">
        <f>PRODUCT(Details[[#This Row],[Selling_Cost]],Details[[#This Row],[Quantity]])</f>
        <v>5915</v>
      </c>
      <c r="H1188" t="s">
        <v>8</v>
      </c>
      <c r="I1188" t="s">
        <v>29</v>
      </c>
      <c r="J1188" t="s">
        <v>10</v>
      </c>
      <c r="K1188" t="s">
        <v>539</v>
      </c>
      <c r="L1188" t="s">
        <v>541</v>
      </c>
    </row>
    <row r="1189" spans="1:12" x14ac:dyDescent="0.3">
      <c r="A1189" t="s">
        <v>473</v>
      </c>
      <c r="B1189">
        <v>263</v>
      </c>
      <c r="C1189">
        <v>50</v>
      </c>
      <c r="D1189">
        <v>1315</v>
      </c>
      <c r="E1189">
        <f>SUM(Details[[#This Row],[Actual_Cost]],Details[[#This Row],[Profit]])</f>
        <v>1365</v>
      </c>
      <c r="F1189">
        <v>5</v>
      </c>
      <c r="G1189">
        <f>PRODUCT(Details[[#This Row],[Selling_Cost]],Details[[#This Row],[Quantity]])</f>
        <v>6825</v>
      </c>
      <c r="H1189" t="s">
        <v>8</v>
      </c>
      <c r="I1189" t="s">
        <v>29</v>
      </c>
      <c r="J1189" t="s">
        <v>10</v>
      </c>
      <c r="K1189" t="s">
        <v>548</v>
      </c>
      <c r="L1189" t="s">
        <v>563</v>
      </c>
    </row>
    <row r="1190" spans="1:12" x14ac:dyDescent="0.3">
      <c r="A1190" t="s">
        <v>333</v>
      </c>
      <c r="B1190">
        <v>637</v>
      </c>
      <c r="C1190">
        <v>50</v>
      </c>
      <c r="D1190">
        <v>3185</v>
      </c>
      <c r="E1190">
        <f>SUM(Details[[#This Row],[Actual_Cost]],Details[[#This Row],[Profit]])</f>
        <v>3235</v>
      </c>
      <c r="F1190">
        <v>5</v>
      </c>
      <c r="G1190">
        <f>PRODUCT(Details[[#This Row],[Selling_Cost]],Details[[#This Row],[Quantity]])</f>
        <v>16175</v>
      </c>
      <c r="H1190" t="s">
        <v>8</v>
      </c>
      <c r="I1190" t="s">
        <v>9</v>
      </c>
      <c r="J1190" t="s">
        <v>10</v>
      </c>
      <c r="K1190" t="s">
        <v>626</v>
      </c>
      <c r="L1190" t="s">
        <v>541</v>
      </c>
    </row>
    <row r="1191" spans="1:12" x14ac:dyDescent="0.3">
      <c r="A1191" t="s">
        <v>173</v>
      </c>
      <c r="B1191">
        <v>191</v>
      </c>
      <c r="C1191">
        <v>51</v>
      </c>
      <c r="D1191">
        <v>955</v>
      </c>
      <c r="E1191">
        <f>SUM(Details[[#This Row],[Actual_Cost]],Details[[#This Row],[Profit]])</f>
        <v>1006</v>
      </c>
      <c r="F1191">
        <v>5</v>
      </c>
      <c r="G1191">
        <f>PRODUCT(Details[[#This Row],[Selling_Cost]],Details[[#This Row],[Quantity]])</f>
        <v>5030</v>
      </c>
      <c r="H1191" t="s">
        <v>8</v>
      </c>
      <c r="I1191" t="s">
        <v>61</v>
      </c>
      <c r="J1191" t="s">
        <v>18</v>
      </c>
      <c r="K1191" t="s">
        <v>605</v>
      </c>
      <c r="L1191" t="s">
        <v>614</v>
      </c>
    </row>
    <row r="1192" spans="1:12" x14ac:dyDescent="0.3">
      <c r="A1192" t="s">
        <v>70</v>
      </c>
      <c r="B1192">
        <v>852</v>
      </c>
      <c r="C1192">
        <v>51</v>
      </c>
      <c r="D1192">
        <v>4260</v>
      </c>
      <c r="E1192">
        <f>SUM(Details[[#This Row],[Actual_Cost]],Details[[#This Row],[Profit]])</f>
        <v>4311</v>
      </c>
      <c r="F1192">
        <v>5</v>
      </c>
      <c r="G1192">
        <f>PRODUCT(Details[[#This Row],[Selling_Cost]],Details[[#This Row],[Quantity]])</f>
        <v>21555</v>
      </c>
      <c r="H1192" t="s">
        <v>16</v>
      </c>
      <c r="I1192" t="s">
        <v>17</v>
      </c>
      <c r="J1192" t="s">
        <v>27</v>
      </c>
      <c r="K1192" t="s">
        <v>548</v>
      </c>
      <c r="L1192" t="s">
        <v>541</v>
      </c>
    </row>
    <row r="1193" spans="1:12" x14ac:dyDescent="0.3">
      <c r="A1193" t="s">
        <v>393</v>
      </c>
      <c r="B1193">
        <v>148</v>
      </c>
      <c r="C1193">
        <v>52</v>
      </c>
      <c r="D1193">
        <v>740</v>
      </c>
      <c r="E1193">
        <f>SUM(Details[[#This Row],[Actual_Cost]],Details[[#This Row],[Profit]])</f>
        <v>792</v>
      </c>
      <c r="F1193">
        <v>5</v>
      </c>
      <c r="G1193">
        <f>PRODUCT(Details[[#This Row],[Selling_Cost]],Details[[#This Row],[Quantity]])</f>
        <v>3960</v>
      </c>
      <c r="H1193" t="s">
        <v>8</v>
      </c>
      <c r="I1193" t="s">
        <v>29</v>
      </c>
      <c r="J1193" t="s">
        <v>18</v>
      </c>
      <c r="K1193" t="s">
        <v>592</v>
      </c>
      <c r="L1193" t="s">
        <v>585</v>
      </c>
    </row>
    <row r="1194" spans="1:12" x14ac:dyDescent="0.3">
      <c r="A1194" t="s">
        <v>293</v>
      </c>
      <c r="B1194">
        <v>276</v>
      </c>
      <c r="C1194">
        <v>52</v>
      </c>
      <c r="D1194">
        <v>1380</v>
      </c>
      <c r="E1194">
        <f>SUM(Details[[#This Row],[Actual_Cost]],Details[[#This Row],[Profit]])</f>
        <v>1432</v>
      </c>
      <c r="F1194">
        <v>5</v>
      </c>
      <c r="G1194">
        <f>PRODUCT(Details[[#This Row],[Selling_Cost]],Details[[#This Row],[Quantity]])</f>
        <v>7160</v>
      </c>
      <c r="H1194" t="s">
        <v>8</v>
      </c>
      <c r="I1194" t="s">
        <v>9</v>
      </c>
      <c r="J1194" t="s">
        <v>125</v>
      </c>
      <c r="K1194" t="s">
        <v>543</v>
      </c>
      <c r="L1194" t="s">
        <v>544</v>
      </c>
    </row>
    <row r="1195" spans="1:12" x14ac:dyDescent="0.3">
      <c r="A1195" t="s">
        <v>474</v>
      </c>
      <c r="B1195">
        <v>124</v>
      </c>
      <c r="C1195">
        <v>54</v>
      </c>
      <c r="D1195">
        <v>620</v>
      </c>
      <c r="E1195">
        <f>SUM(Details[[#This Row],[Actual_Cost]],Details[[#This Row],[Profit]])</f>
        <v>674</v>
      </c>
      <c r="F1195">
        <v>5</v>
      </c>
      <c r="G1195">
        <f>PRODUCT(Details[[#This Row],[Selling_Cost]],Details[[#This Row],[Quantity]])</f>
        <v>3370</v>
      </c>
      <c r="H1195" t="s">
        <v>8</v>
      </c>
      <c r="I1195" t="s">
        <v>46</v>
      </c>
      <c r="J1195" t="s">
        <v>10</v>
      </c>
      <c r="K1195" t="s">
        <v>607</v>
      </c>
      <c r="L1195" t="s">
        <v>567</v>
      </c>
    </row>
    <row r="1196" spans="1:12" x14ac:dyDescent="0.3">
      <c r="A1196" t="s">
        <v>323</v>
      </c>
      <c r="B1196">
        <v>132</v>
      </c>
      <c r="C1196">
        <v>54</v>
      </c>
      <c r="D1196">
        <v>660</v>
      </c>
      <c r="E1196">
        <f>SUM(Details[[#This Row],[Actual_Cost]],Details[[#This Row],[Profit]])</f>
        <v>714</v>
      </c>
      <c r="F1196">
        <v>5</v>
      </c>
      <c r="G1196">
        <f>PRODUCT(Details[[#This Row],[Selling_Cost]],Details[[#This Row],[Quantity]])</f>
        <v>3570</v>
      </c>
      <c r="H1196" t="s">
        <v>8</v>
      </c>
      <c r="I1196" t="s">
        <v>29</v>
      </c>
      <c r="J1196" t="s">
        <v>10</v>
      </c>
      <c r="K1196" t="s">
        <v>592</v>
      </c>
      <c r="L1196" t="s">
        <v>567</v>
      </c>
    </row>
    <row r="1197" spans="1:12" x14ac:dyDescent="0.3">
      <c r="A1197" t="s">
        <v>87</v>
      </c>
      <c r="B1197">
        <v>140</v>
      </c>
      <c r="C1197">
        <v>68</v>
      </c>
      <c r="D1197">
        <v>700</v>
      </c>
      <c r="E1197">
        <f>SUM(Details[[#This Row],[Actual_Cost]],Details[[#This Row],[Profit]])</f>
        <v>768</v>
      </c>
      <c r="F1197">
        <v>5</v>
      </c>
      <c r="G1197">
        <f>PRODUCT(Details[[#This Row],[Selling_Cost]],Details[[#This Row],[Quantity]])</f>
        <v>3840</v>
      </c>
      <c r="H1197" t="s">
        <v>8</v>
      </c>
      <c r="I1197" t="s">
        <v>46</v>
      </c>
      <c r="J1197" t="s">
        <v>10</v>
      </c>
      <c r="K1197" t="s">
        <v>587</v>
      </c>
      <c r="L1197" t="s">
        <v>550</v>
      </c>
    </row>
    <row r="1198" spans="1:12" x14ac:dyDescent="0.3">
      <c r="A1198" t="s">
        <v>35</v>
      </c>
      <c r="B1198">
        <v>222</v>
      </c>
      <c r="C1198">
        <v>74</v>
      </c>
      <c r="D1198">
        <v>1110</v>
      </c>
      <c r="E1198">
        <f>SUM(Details[[#This Row],[Actual_Cost]],Details[[#This Row],[Profit]])</f>
        <v>1184</v>
      </c>
      <c r="F1198">
        <v>5</v>
      </c>
      <c r="G1198">
        <f>PRODUCT(Details[[#This Row],[Selling_Cost]],Details[[#This Row],[Quantity]])</f>
        <v>5920</v>
      </c>
      <c r="H1198" t="s">
        <v>8</v>
      </c>
      <c r="I1198" t="s">
        <v>48</v>
      </c>
      <c r="J1198" t="s">
        <v>10</v>
      </c>
      <c r="K1198" t="s">
        <v>543</v>
      </c>
      <c r="L1198" t="s">
        <v>544</v>
      </c>
    </row>
    <row r="1199" spans="1:12" x14ac:dyDescent="0.3">
      <c r="A1199" t="s">
        <v>216</v>
      </c>
      <c r="B1199">
        <v>255</v>
      </c>
      <c r="C1199">
        <v>74</v>
      </c>
      <c r="D1199">
        <v>1275</v>
      </c>
      <c r="E1199">
        <f>SUM(Details[[#This Row],[Actual_Cost]],Details[[#This Row],[Profit]])</f>
        <v>1349</v>
      </c>
      <c r="F1199">
        <v>5</v>
      </c>
      <c r="G1199">
        <f>PRODUCT(Details[[#This Row],[Selling_Cost]],Details[[#This Row],[Quantity]])</f>
        <v>6745</v>
      </c>
      <c r="H1199" t="s">
        <v>8</v>
      </c>
      <c r="I1199" t="s">
        <v>48</v>
      </c>
      <c r="J1199" t="s">
        <v>10</v>
      </c>
      <c r="K1199" t="s">
        <v>548</v>
      </c>
      <c r="L1199" t="s">
        <v>567</v>
      </c>
    </row>
    <row r="1200" spans="1:12" x14ac:dyDescent="0.3">
      <c r="A1200" t="s">
        <v>314</v>
      </c>
      <c r="B1200">
        <v>669</v>
      </c>
      <c r="C1200">
        <v>74</v>
      </c>
      <c r="D1200">
        <v>3345</v>
      </c>
      <c r="E1200">
        <f>SUM(Details[[#This Row],[Actual_Cost]],Details[[#This Row],[Profit]])</f>
        <v>3419</v>
      </c>
      <c r="F1200">
        <v>5</v>
      </c>
      <c r="G1200">
        <f>PRODUCT(Details[[#This Row],[Selling_Cost]],Details[[#This Row],[Quantity]])</f>
        <v>17095</v>
      </c>
      <c r="H1200" t="s">
        <v>16</v>
      </c>
      <c r="I1200" t="s">
        <v>17</v>
      </c>
      <c r="J1200" t="s">
        <v>10</v>
      </c>
      <c r="K1200" t="s">
        <v>632</v>
      </c>
      <c r="L1200" t="s">
        <v>541</v>
      </c>
    </row>
    <row r="1201" spans="1:12" x14ac:dyDescent="0.3">
      <c r="A1201" t="s">
        <v>475</v>
      </c>
      <c r="B1201">
        <v>743</v>
      </c>
      <c r="C1201">
        <v>89</v>
      </c>
      <c r="D1201">
        <v>3715</v>
      </c>
      <c r="E1201">
        <f>SUM(Details[[#This Row],[Actual_Cost]],Details[[#This Row],[Profit]])</f>
        <v>3804</v>
      </c>
      <c r="F1201">
        <v>5</v>
      </c>
      <c r="G1201">
        <f>PRODUCT(Details[[#This Row],[Selling_Cost]],Details[[#This Row],[Quantity]])</f>
        <v>19020</v>
      </c>
      <c r="H1201" t="s">
        <v>13</v>
      </c>
      <c r="I1201" t="s">
        <v>20</v>
      </c>
      <c r="J1201" t="s">
        <v>18</v>
      </c>
      <c r="K1201" t="s">
        <v>548</v>
      </c>
      <c r="L1201" t="s">
        <v>563</v>
      </c>
    </row>
    <row r="1202" spans="1:12" x14ac:dyDescent="0.3">
      <c r="A1202" t="s">
        <v>111</v>
      </c>
      <c r="B1202">
        <v>689</v>
      </c>
      <c r="C1202">
        <v>90</v>
      </c>
      <c r="D1202">
        <v>3445</v>
      </c>
      <c r="E1202">
        <f>SUM(Details[[#This Row],[Actual_Cost]],Details[[#This Row],[Profit]])</f>
        <v>3535</v>
      </c>
      <c r="F1202">
        <v>5</v>
      </c>
      <c r="G1202">
        <f>PRODUCT(Details[[#This Row],[Selling_Cost]],Details[[#This Row],[Quantity]])</f>
        <v>17675</v>
      </c>
      <c r="H1202" t="s">
        <v>8</v>
      </c>
      <c r="I1202" t="s">
        <v>9</v>
      </c>
      <c r="J1202" t="s">
        <v>10</v>
      </c>
      <c r="K1202" t="s">
        <v>548</v>
      </c>
      <c r="L1202" t="s">
        <v>567</v>
      </c>
    </row>
    <row r="1203" spans="1:12" x14ac:dyDescent="0.3">
      <c r="A1203" t="s">
        <v>95</v>
      </c>
      <c r="B1203">
        <v>1622</v>
      </c>
      <c r="C1203">
        <v>95</v>
      </c>
      <c r="D1203">
        <v>8110</v>
      </c>
      <c r="E1203">
        <f>SUM(Details[[#This Row],[Actual_Cost]],Details[[#This Row],[Profit]])</f>
        <v>8205</v>
      </c>
      <c r="F1203">
        <v>5</v>
      </c>
      <c r="G1203">
        <f>PRODUCT(Details[[#This Row],[Selling_Cost]],Details[[#This Row],[Quantity]])</f>
        <v>41025</v>
      </c>
      <c r="H1203" t="s">
        <v>13</v>
      </c>
      <c r="I1203" t="s">
        <v>20</v>
      </c>
      <c r="J1203" t="s">
        <v>27</v>
      </c>
      <c r="K1203" t="s">
        <v>552</v>
      </c>
      <c r="L1203" t="s">
        <v>546</v>
      </c>
    </row>
    <row r="1204" spans="1:12" x14ac:dyDescent="0.3">
      <c r="A1204" t="s">
        <v>148</v>
      </c>
      <c r="B1204">
        <v>246</v>
      </c>
      <c r="C1204">
        <v>98</v>
      </c>
      <c r="D1204">
        <v>1230</v>
      </c>
      <c r="E1204">
        <f>SUM(Details[[#This Row],[Actual_Cost]],Details[[#This Row],[Profit]])</f>
        <v>1328</v>
      </c>
      <c r="F1204">
        <v>5</v>
      </c>
      <c r="G1204">
        <f>PRODUCT(Details[[#This Row],[Selling_Cost]],Details[[#This Row],[Quantity]])</f>
        <v>6640</v>
      </c>
      <c r="H1204" t="s">
        <v>8</v>
      </c>
      <c r="I1204" t="s">
        <v>48</v>
      </c>
      <c r="J1204" t="s">
        <v>10</v>
      </c>
      <c r="K1204" t="s">
        <v>548</v>
      </c>
      <c r="L1204" t="s">
        <v>541</v>
      </c>
    </row>
    <row r="1205" spans="1:12" x14ac:dyDescent="0.3">
      <c r="A1205" t="s">
        <v>476</v>
      </c>
      <c r="B1205">
        <v>637</v>
      </c>
      <c r="C1205">
        <v>113</v>
      </c>
      <c r="D1205">
        <v>3185</v>
      </c>
      <c r="E1205">
        <f>SUM(Details[[#This Row],[Actual_Cost]],Details[[#This Row],[Profit]])</f>
        <v>3298</v>
      </c>
      <c r="F1205">
        <v>5</v>
      </c>
      <c r="G1205">
        <f>PRODUCT(Details[[#This Row],[Selling_Cost]],Details[[#This Row],[Quantity]])</f>
        <v>16490</v>
      </c>
      <c r="H1205" t="s">
        <v>8</v>
      </c>
      <c r="I1205" t="s">
        <v>9</v>
      </c>
      <c r="J1205" t="s">
        <v>18</v>
      </c>
      <c r="K1205" t="s">
        <v>548</v>
      </c>
      <c r="L1205" t="s">
        <v>565</v>
      </c>
    </row>
    <row r="1206" spans="1:12" x14ac:dyDescent="0.3">
      <c r="A1206" t="s">
        <v>38</v>
      </c>
      <c r="B1206">
        <v>561</v>
      </c>
      <c r="C1206">
        <v>118</v>
      </c>
      <c r="D1206">
        <v>2805</v>
      </c>
      <c r="E1206">
        <f>SUM(Details[[#This Row],[Actual_Cost]],Details[[#This Row],[Profit]])</f>
        <v>2923</v>
      </c>
      <c r="F1206">
        <v>5</v>
      </c>
      <c r="G1206">
        <f>PRODUCT(Details[[#This Row],[Selling_Cost]],Details[[#This Row],[Quantity]])</f>
        <v>14615</v>
      </c>
      <c r="H1206" t="s">
        <v>16</v>
      </c>
      <c r="I1206" t="s">
        <v>17</v>
      </c>
      <c r="J1206" t="s">
        <v>27</v>
      </c>
      <c r="K1206" t="s">
        <v>543</v>
      </c>
      <c r="L1206" t="s">
        <v>546</v>
      </c>
    </row>
    <row r="1207" spans="1:12" x14ac:dyDescent="0.3">
      <c r="A1207" t="s">
        <v>225</v>
      </c>
      <c r="B1207">
        <v>323</v>
      </c>
      <c r="C1207">
        <v>122</v>
      </c>
      <c r="D1207">
        <v>1615</v>
      </c>
      <c r="E1207">
        <f>SUM(Details[[#This Row],[Actual_Cost]],Details[[#This Row],[Profit]])</f>
        <v>1737</v>
      </c>
      <c r="F1207">
        <v>5</v>
      </c>
      <c r="G1207">
        <f>PRODUCT(Details[[#This Row],[Selling_Cost]],Details[[#This Row],[Quantity]])</f>
        <v>8685</v>
      </c>
      <c r="H1207" t="s">
        <v>13</v>
      </c>
      <c r="I1207" t="s">
        <v>14</v>
      </c>
      <c r="J1207" t="s">
        <v>18</v>
      </c>
      <c r="K1207" t="s">
        <v>548</v>
      </c>
      <c r="L1207" t="s">
        <v>550</v>
      </c>
    </row>
    <row r="1208" spans="1:12" x14ac:dyDescent="0.3">
      <c r="A1208" t="s">
        <v>417</v>
      </c>
      <c r="B1208">
        <v>933</v>
      </c>
      <c r="C1208">
        <v>166</v>
      </c>
      <c r="D1208">
        <v>4665</v>
      </c>
      <c r="E1208">
        <f>SUM(Details[[#This Row],[Actual_Cost]],Details[[#This Row],[Profit]])</f>
        <v>4831</v>
      </c>
      <c r="F1208">
        <v>5</v>
      </c>
      <c r="G1208">
        <f>PRODUCT(Details[[#This Row],[Selling_Cost]],Details[[#This Row],[Quantity]])</f>
        <v>24155</v>
      </c>
      <c r="H1208" t="s">
        <v>8</v>
      </c>
      <c r="I1208" t="s">
        <v>9</v>
      </c>
      <c r="J1208" t="s">
        <v>27</v>
      </c>
      <c r="K1208" t="s">
        <v>548</v>
      </c>
      <c r="L1208" t="s">
        <v>583</v>
      </c>
    </row>
    <row r="1209" spans="1:12" x14ac:dyDescent="0.3">
      <c r="A1209" t="s">
        <v>89</v>
      </c>
      <c r="B1209">
        <v>651</v>
      </c>
      <c r="C1209">
        <v>169</v>
      </c>
      <c r="D1209">
        <v>3255</v>
      </c>
      <c r="E1209">
        <f>SUM(Details[[#This Row],[Actual_Cost]],Details[[#This Row],[Profit]])</f>
        <v>3424</v>
      </c>
      <c r="F1209">
        <v>5</v>
      </c>
      <c r="G1209">
        <f>PRODUCT(Details[[#This Row],[Selling_Cost]],Details[[#This Row],[Quantity]])</f>
        <v>17120</v>
      </c>
      <c r="H1209" t="s">
        <v>13</v>
      </c>
      <c r="I1209" t="s">
        <v>20</v>
      </c>
      <c r="J1209" t="s">
        <v>10</v>
      </c>
      <c r="K1209" t="s">
        <v>548</v>
      </c>
      <c r="L1209" t="s">
        <v>624</v>
      </c>
    </row>
    <row r="1210" spans="1:12" x14ac:dyDescent="0.3">
      <c r="A1210" t="s">
        <v>120</v>
      </c>
      <c r="B1210">
        <v>642</v>
      </c>
      <c r="C1210">
        <v>180</v>
      </c>
      <c r="D1210">
        <v>3210</v>
      </c>
      <c r="E1210">
        <f>SUM(Details[[#This Row],[Actual_Cost]],Details[[#This Row],[Profit]])</f>
        <v>3390</v>
      </c>
      <c r="F1210">
        <v>5</v>
      </c>
      <c r="G1210">
        <f>PRODUCT(Details[[#This Row],[Selling_Cost]],Details[[#This Row],[Quantity]])</f>
        <v>16950</v>
      </c>
      <c r="H1210" t="s">
        <v>8</v>
      </c>
      <c r="I1210" t="s">
        <v>9</v>
      </c>
      <c r="J1210" t="s">
        <v>10</v>
      </c>
      <c r="K1210" t="s">
        <v>552</v>
      </c>
      <c r="L1210" t="s">
        <v>541</v>
      </c>
    </row>
    <row r="1211" spans="1:12" x14ac:dyDescent="0.3">
      <c r="A1211" t="s">
        <v>477</v>
      </c>
      <c r="B1211">
        <v>425</v>
      </c>
      <c r="C1211">
        <v>183</v>
      </c>
      <c r="D1211">
        <v>2125</v>
      </c>
      <c r="E1211">
        <f>SUM(Details[[#This Row],[Actual_Cost]],Details[[#This Row],[Profit]])</f>
        <v>2308</v>
      </c>
      <c r="F1211">
        <v>5</v>
      </c>
      <c r="G1211">
        <f>PRODUCT(Details[[#This Row],[Selling_Cost]],Details[[#This Row],[Quantity]])</f>
        <v>11540</v>
      </c>
      <c r="H1211" t="s">
        <v>13</v>
      </c>
      <c r="I1211" t="s">
        <v>55</v>
      </c>
      <c r="J1211" t="s">
        <v>18</v>
      </c>
      <c r="K1211" t="s">
        <v>610</v>
      </c>
      <c r="L1211" t="s">
        <v>544</v>
      </c>
    </row>
    <row r="1212" spans="1:12" x14ac:dyDescent="0.3">
      <c r="A1212" t="s">
        <v>50</v>
      </c>
      <c r="B1212">
        <v>322</v>
      </c>
      <c r="C1212">
        <v>193</v>
      </c>
      <c r="D1212">
        <v>1610</v>
      </c>
      <c r="E1212">
        <f>SUM(Details[[#This Row],[Actual_Cost]],Details[[#This Row],[Profit]])</f>
        <v>1803</v>
      </c>
      <c r="F1212">
        <v>5</v>
      </c>
      <c r="G1212">
        <f>PRODUCT(Details[[#This Row],[Selling_Cost]],Details[[#This Row],[Quantity]])</f>
        <v>9015</v>
      </c>
      <c r="H1212" t="s">
        <v>13</v>
      </c>
      <c r="I1212" t="s">
        <v>20</v>
      </c>
      <c r="J1212" t="s">
        <v>10</v>
      </c>
      <c r="K1212" t="s">
        <v>641</v>
      </c>
      <c r="L1212" t="s">
        <v>585</v>
      </c>
    </row>
    <row r="1213" spans="1:12" x14ac:dyDescent="0.3">
      <c r="A1213" t="s">
        <v>314</v>
      </c>
      <c r="B1213">
        <v>676</v>
      </c>
      <c r="C1213">
        <v>195</v>
      </c>
      <c r="D1213">
        <v>3380</v>
      </c>
      <c r="E1213">
        <f>SUM(Details[[#This Row],[Actual_Cost]],Details[[#This Row],[Profit]])</f>
        <v>3575</v>
      </c>
      <c r="F1213">
        <v>5</v>
      </c>
      <c r="G1213">
        <f>PRODUCT(Details[[#This Row],[Selling_Cost]],Details[[#This Row],[Quantity]])</f>
        <v>17875</v>
      </c>
      <c r="H1213" t="s">
        <v>16</v>
      </c>
      <c r="I1213" t="s">
        <v>17</v>
      </c>
      <c r="J1213" t="s">
        <v>42</v>
      </c>
      <c r="K1213" t="s">
        <v>632</v>
      </c>
      <c r="L1213" t="s">
        <v>541</v>
      </c>
    </row>
    <row r="1214" spans="1:12" x14ac:dyDescent="0.3">
      <c r="A1214" t="s">
        <v>311</v>
      </c>
      <c r="B1214">
        <v>1461</v>
      </c>
      <c r="C1214">
        <v>202</v>
      </c>
      <c r="D1214">
        <v>7305</v>
      </c>
      <c r="E1214">
        <f>SUM(Details[[#This Row],[Actual_Cost]],Details[[#This Row],[Profit]])</f>
        <v>7507</v>
      </c>
      <c r="F1214">
        <v>5</v>
      </c>
      <c r="G1214">
        <f>PRODUCT(Details[[#This Row],[Selling_Cost]],Details[[#This Row],[Quantity]])</f>
        <v>37535</v>
      </c>
      <c r="H1214" t="s">
        <v>16</v>
      </c>
      <c r="I1214" t="s">
        <v>146</v>
      </c>
      <c r="J1214" t="s">
        <v>125</v>
      </c>
      <c r="K1214" t="s">
        <v>548</v>
      </c>
      <c r="L1214" t="s">
        <v>541</v>
      </c>
    </row>
    <row r="1215" spans="1:12" x14ac:dyDescent="0.3">
      <c r="A1215" t="s">
        <v>252</v>
      </c>
      <c r="B1215">
        <v>867</v>
      </c>
      <c r="C1215">
        <v>251</v>
      </c>
      <c r="D1215">
        <v>4335</v>
      </c>
      <c r="E1215">
        <f>SUM(Details[[#This Row],[Actual_Cost]],Details[[#This Row],[Profit]])</f>
        <v>4586</v>
      </c>
      <c r="F1215">
        <v>5</v>
      </c>
      <c r="G1215">
        <f>PRODUCT(Details[[#This Row],[Selling_Cost]],Details[[#This Row],[Quantity]])</f>
        <v>22930</v>
      </c>
      <c r="H1215" t="s">
        <v>13</v>
      </c>
      <c r="I1215" t="s">
        <v>14</v>
      </c>
      <c r="J1215" t="s">
        <v>10</v>
      </c>
      <c r="K1215" t="s">
        <v>543</v>
      </c>
      <c r="L1215" t="s">
        <v>546</v>
      </c>
    </row>
    <row r="1216" spans="1:12" x14ac:dyDescent="0.3">
      <c r="A1216" t="s">
        <v>132</v>
      </c>
      <c r="B1216">
        <v>582</v>
      </c>
      <c r="C1216">
        <v>262</v>
      </c>
      <c r="D1216">
        <v>2910</v>
      </c>
      <c r="E1216">
        <f>SUM(Details[[#This Row],[Actual_Cost]],Details[[#This Row],[Profit]])</f>
        <v>3172</v>
      </c>
      <c r="F1216">
        <v>5</v>
      </c>
      <c r="G1216">
        <f>PRODUCT(Details[[#This Row],[Selling_Cost]],Details[[#This Row],[Quantity]])</f>
        <v>15860</v>
      </c>
      <c r="H1216" t="s">
        <v>16</v>
      </c>
      <c r="I1216" t="s">
        <v>32</v>
      </c>
      <c r="J1216" t="s">
        <v>10</v>
      </c>
      <c r="K1216" t="s">
        <v>610</v>
      </c>
      <c r="L1216" t="s">
        <v>541</v>
      </c>
    </row>
    <row r="1217" spans="1:12" x14ac:dyDescent="0.3">
      <c r="A1217" t="s">
        <v>399</v>
      </c>
      <c r="B1217">
        <v>741</v>
      </c>
      <c r="C1217">
        <v>267</v>
      </c>
      <c r="D1217">
        <v>3705</v>
      </c>
      <c r="E1217">
        <f>SUM(Details[[#This Row],[Actual_Cost]],Details[[#This Row],[Profit]])</f>
        <v>3972</v>
      </c>
      <c r="F1217">
        <v>5</v>
      </c>
      <c r="G1217">
        <f>PRODUCT(Details[[#This Row],[Selling_Cost]],Details[[#This Row],[Quantity]])</f>
        <v>19860</v>
      </c>
      <c r="H1217" t="s">
        <v>16</v>
      </c>
      <c r="I1217" t="s">
        <v>17</v>
      </c>
      <c r="J1217" t="s">
        <v>10</v>
      </c>
      <c r="K1217" t="s">
        <v>548</v>
      </c>
      <c r="L1217" t="s">
        <v>567</v>
      </c>
    </row>
    <row r="1218" spans="1:12" x14ac:dyDescent="0.3">
      <c r="A1218" t="s">
        <v>90</v>
      </c>
      <c r="B1218">
        <v>835</v>
      </c>
      <c r="C1218">
        <v>267</v>
      </c>
      <c r="D1218">
        <v>4175</v>
      </c>
      <c r="E1218">
        <f>SUM(Details[[#This Row],[Actual_Cost]],Details[[#This Row],[Profit]])</f>
        <v>4442</v>
      </c>
      <c r="F1218">
        <v>5</v>
      </c>
      <c r="G1218">
        <f>PRODUCT(Details[[#This Row],[Selling_Cost]],Details[[#This Row],[Quantity]])</f>
        <v>22210</v>
      </c>
      <c r="H1218" t="s">
        <v>13</v>
      </c>
      <c r="I1218" t="s">
        <v>14</v>
      </c>
      <c r="J1218" t="s">
        <v>42</v>
      </c>
      <c r="K1218" t="s">
        <v>548</v>
      </c>
      <c r="L1218" t="s">
        <v>541</v>
      </c>
    </row>
    <row r="1219" spans="1:12" x14ac:dyDescent="0.3">
      <c r="A1219" t="s">
        <v>140</v>
      </c>
      <c r="B1219">
        <v>4363</v>
      </c>
      <c r="C1219">
        <v>305</v>
      </c>
      <c r="D1219">
        <v>21815</v>
      </c>
      <c r="E1219">
        <f>SUM(Details[[#This Row],[Actual_Cost]],Details[[#This Row],[Profit]])</f>
        <v>22120</v>
      </c>
      <c r="F1219">
        <v>5</v>
      </c>
      <c r="G1219">
        <f>PRODUCT(Details[[#This Row],[Selling_Cost]],Details[[#This Row],[Quantity]])</f>
        <v>110600</v>
      </c>
      <c r="H1219" t="s">
        <v>16</v>
      </c>
      <c r="I1219" t="s">
        <v>146</v>
      </c>
      <c r="J1219" t="s">
        <v>125</v>
      </c>
      <c r="K1219" t="s">
        <v>543</v>
      </c>
      <c r="L1219" t="s">
        <v>544</v>
      </c>
    </row>
    <row r="1220" spans="1:12" x14ac:dyDescent="0.3">
      <c r="A1220" t="s">
        <v>180</v>
      </c>
      <c r="B1220">
        <v>319</v>
      </c>
      <c r="C1220">
        <v>312</v>
      </c>
      <c r="D1220">
        <v>1595</v>
      </c>
      <c r="E1220">
        <f>SUM(Details[[#This Row],[Actual_Cost]],Details[[#This Row],[Profit]])</f>
        <v>1907</v>
      </c>
      <c r="F1220">
        <v>5</v>
      </c>
      <c r="G1220">
        <f>PRODUCT(Details[[#This Row],[Selling_Cost]],Details[[#This Row],[Quantity]])</f>
        <v>9535</v>
      </c>
      <c r="H1220" t="s">
        <v>8</v>
      </c>
      <c r="I1220" t="s">
        <v>9</v>
      </c>
      <c r="J1220" t="s">
        <v>42</v>
      </c>
      <c r="K1220" t="s">
        <v>578</v>
      </c>
      <c r="L1220" t="s">
        <v>554</v>
      </c>
    </row>
    <row r="1221" spans="1:12" x14ac:dyDescent="0.3">
      <c r="A1221" t="s">
        <v>175</v>
      </c>
      <c r="B1221">
        <v>321</v>
      </c>
      <c r="C1221">
        <v>315</v>
      </c>
      <c r="D1221">
        <v>1605</v>
      </c>
      <c r="E1221">
        <f>SUM(Details[[#This Row],[Actual_Cost]],Details[[#This Row],[Profit]])</f>
        <v>1920</v>
      </c>
      <c r="F1221">
        <v>5</v>
      </c>
      <c r="G1221">
        <f>PRODUCT(Details[[#This Row],[Selling_Cost]],Details[[#This Row],[Quantity]])</f>
        <v>9600</v>
      </c>
      <c r="H1221" t="s">
        <v>8</v>
      </c>
      <c r="I1221" t="s">
        <v>9</v>
      </c>
      <c r="J1221" t="s">
        <v>18</v>
      </c>
      <c r="K1221" t="s">
        <v>592</v>
      </c>
      <c r="L1221" t="s">
        <v>554</v>
      </c>
    </row>
    <row r="1222" spans="1:12" x14ac:dyDescent="0.3">
      <c r="A1222" t="s">
        <v>174</v>
      </c>
      <c r="B1222">
        <v>736</v>
      </c>
      <c r="C1222">
        <v>346</v>
      </c>
      <c r="D1222">
        <v>3680</v>
      </c>
      <c r="E1222">
        <f>SUM(Details[[#This Row],[Actual_Cost]],Details[[#This Row],[Profit]])</f>
        <v>4026</v>
      </c>
      <c r="F1222">
        <v>5</v>
      </c>
      <c r="G1222">
        <f>PRODUCT(Details[[#This Row],[Selling_Cost]],Details[[#This Row],[Quantity]])</f>
        <v>20130</v>
      </c>
      <c r="H1222" t="s">
        <v>13</v>
      </c>
      <c r="I1222" t="s">
        <v>20</v>
      </c>
      <c r="J1222" t="s">
        <v>10</v>
      </c>
      <c r="K1222" t="s">
        <v>592</v>
      </c>
      <c r="L1222" t="s">
        <v>541</v>
      </c>
    </row>
    <row r="1223" spans="1:12" x14ac:dyDescent="0.3">
      <c r="A1223" t="s">
        <v>463</v>
      </c>
      <c r="B1223">
        <v>911</v>
      </c>
      <c r="C1223">
        <v>355</v>
      </c>
      <c r="D1223">
        <v>4555</v>
      </c>
      <c r="E1223">
        <f>SUM(Details[[#This Row],[Actual_Cost]],Details[[#This Row],[Profit]])</f>
        <v>4910</v>
      </c>
      <c r="F1223">
        <v>5</v>
      </c>
      <c r="G1223">
        <f>PRODUCT(Details[[#This Row],[Selling_Cost]],Details[[#This Row],[Quantity]])</f>
        <v>24550</v>
      </c>
      <c r="H1223" t="s">
        <v>13</v>
      </c>
      <c r="I1223" t="s">
        <v>14</v>
      </c>
      <c r="J1223" t="s">
        <v>42</v>
      </c>
      <c r="K1223" t="s">
        <v>552</v>
      </c>
      <c r="L1223" t="s">
        <v>563</v>
      </c>
    </row>
    <row r="1224" spans="1:12" x14ac:dyDescent="0.3">
      <c r="A1224" t="s">
        <v>327</v>
      </c>
      <c r="B1224">
        <v>1854</v>
      </c>
      <c r="C1224">
        <v>433</v>
      </c>
      <c r="D1224">
        <v>9270</v>
      </c>
      <c r="E1224">
        <f>SUM(Details[[#This Row],[Actual_Cost]],Details[[#This Row],[Profit]])</f>
        <v>9703</v>
      </c>
      <c r="F1224">
        <v>5</v>
      </c>
      <c r="G1224">
        <f>PRODUCT(Details[[#This Row],[Selling_Cost]],Details[[#This Row],[Quantity]])</f>
        <v>48515</v>
      </c>
      <c r="H1224" t="s">
        <v>16</v>
      </c>
      <c r="I1224" t="s">
        <v>17</v>
      </c>
      <c r="J1224" t="s">
        <v>27</v>
      </c>
      <c r="K1224" t="s">
        <v>539</v>
      </c>
      <c r="L1224" t="s">
        <v>583</v>
      </c>
    </row>
    <row r="1225" spans="1:12" x14ac:dyDescent="0.3">
      <c r="A1225" t="s">
        <v>90</v>
      </c>
      <c r="B1225">
        <v>2366</v>
      </c>
      <c r="C1225">
        <v>552</v>
      </c>
      <c r="D1225">
        <v>11830</v>
      </c>
      <c r="E1225">
        <f>SUM(Details[[#This Row],[Actual_Cost]],Details[[#This Row],[Profit]])</f>
        <v>12382</v>
      </c>
      <c r="F1225">
        <v>5</v>
      </c>
      <c r="G1225">
        <f>PRODUCT(Details[[#This Row],[Selling_Cost]],Details[[#This Row],[Quantity]])</f>
        <v>61910</v>
      </c>
      <c r="H1225" t="s">
        <v>8</v>
      </c>
      <c r="I1225" t="s">
        <v>41</v>
      </c>
      <c r="J1225" t="s">
        <v>18</v>
      </c>
      <c r="K1225" t="s">
        <v>548</v>
      </c>
      <c r="L1225" t="s">
        <v>541</v>
      </c>
    </row>
    <row r="1226" spans="1:12" x14ac:dyDescent="0.3">
      <c r="A1226" t="s">
        <v>139</v>
      </c>
      <c r="B1226">
        <v>1319</v>
      </c>
      <c r="C1226">
        <v>567</v>
      </c>
      <c r="D1226">
        <v>6595</v>
      </c>
      <c r="E1226">
        <f>SUM(Details[[#This Row],[Actual_Cost]],Details[[#This Row],[Profit]])</f>
        <v>7162</v>
      </c>
      <c r="F1226">
        <v>5</v>
      </c>
      <c r="G1226">
        <f>PRODUCT(Details[[#This Row],[Selling_Cost]],Details[[#This Row],[Quantity]])</f>
        <v>35810</v>
      </c>
      <c r="H1226" t="s">
        <v>13</v>
      </c>
      <c r="I1226" t="s">
        <v>20</v>
      </c>
      <c r="J1226" t="s">
        <v>10</v>
      </c>
      <c r="K1226" t="s">
        <v>552</v>
      </c>
      <c r="L1226" t="s">
        <v>567</v>
      </c>
    </row>
    <row r="1227" spans="1:12" x14ac:dyDescent="0.3">
      <c r="A1227" t="s">
        <v>478</v>
      </c>
      <c r="B1227">
        <v>1301</v>
      </c>
      <c r="C1227">
        <v>573</v>
      </c>
      <c r="D1227">
        <v>6505</v>
      </c>
      <c r="E1227">
        <f>SUM(Details[[#This Row],[Actual_Cost]],Details[[#This Row],[Profit]])</f>
        <v>7078</v>
      </c>
      <c r="F1227">
        <v>5</v>
      </c>
      <c r="G1227">
        <f>PRODUCT(Details[[#This Row],[Selling_Cost]],Details[[#This Row],[Quantity]])</f>
        <v>35390</v>
      </c>
      <c r="H1227" t="s">
        <v>13</v>
      </c>
      <c r="I1227" t="s">
        <v>55</v>
      </c>
      <c r="J1227" t="s">
        <v>27</v>
      </c>
      <c r="K1227" t="s">
        <v>610</v>
      </c>
      <c r="L1227" t="s">
        <v>544</v>
      </c>
    </row>
    <row r="1228" spans="1:12" x14ac:dyDescent="0.3">
      <c r="A1228" t="s">
        <v>366</v>
      </c>
      <c r="B1228">
        <v>2061</v>
      </c>
      <c r="C1228">
        <v>701</v>
      </c>
      <c r="D1228">
        <v>10305</v>
      </c>
      <c r="E1228">
        <f>SUM(Details[[#This Row],[Actual_Cost]],Details[[#This Row],[Profit]])</f>
        <v>11006</v>
      </c>
      <c r="F1228">
        <v>5</v>
      </c>
      <c r="G1228">
        <f>PRODUCT(Details[[#This Row],[Selling_Cost]],Details[[#This Row],[Quantity]])</f>
        <v>55030</v>
      </c>
      <c r="H1228" t="s">
        <v>16</v>
      </c>
      <c r="I1228" t="s">
        <v>17</v>
      </c>
      <c r="J1228" t="s">
        <v>18</v>
      </c>
      <c r="K1228" t="s">
        <v>578</v>
      </c>
      <c r="L1228" t="s">
        <v>567</v>
      </c>
    </row>
    <row r="1229" spans="1:12" x14ac:dyDescent="0.3">
      <c r="A1229" t="s">
        <v>244</v>
      </c>
      <c r="B1229">
        <v>2093</v>
      </c>
      <c r="C1229">
        <v>721</v>
      </c>
      <c r="D1229">
        <v>10465</v>
      </c>
      <c r="E1229">
        <f>SUM(Details[[#This Row],[Actual_Cost]],Details[[#This Row],[Profit]])</f>
        <v>11186</v>
      </c>
      <c r="F1229">
        <v>5</v>
      </c>
      <c r="G1229">
        <f>PRODUCT(Details[[#This Row],[Selling_Cost]],Details[[#This Row],[Quantity]])</f>
        <v>55930</v>
      </c>
      <c r="H1229" t="s">
        <v>16</v>
      </c>
      <c r="I1229" t="s">
        <v>23</v>
      </c>
      <c r="J1229" t="s">
        <v>27</v>
      </c>
      <c r="K1229" t="s">
        <v>569</v>
      </c>
      <c r="L1229" t="s">
        <v>567</v>
      </c>
    </row>
    <row r="1230" spans="1:12" x14ac:dyDescent="0.3">
      <c r="A1230" t="s">
        <v>155</v>
      </c>
      <c r="B1230">
        <v>1630</v>
      </c>
      <c r="C1230">
        <v>802</v>
      </c>
      <c r="D1230">
        <v>8150</v>
      </c>
      <c r="E1230">
        <f>SUM(Details[[#This Row],[Actual_Cost]],Details[[#This Row],[Profit]])</f>
        <v>8952</v>
      </c>
      <c r="F1230">
        <v>5</v>
      </c>
      <c r="G1230">
        <f>PRODUCT(Details[[#This Row],[Selling_Cost]],Details[[#This Row],[Quantity]])</f>
        <v>44760</v>
      </c>
      <c r="H1230" t="s">
        <v>16</v>
      </c>
      <c r="I1230" t="s">
        <v>146</v>
      </c>
      <c r="J1230" t="s">
        <v>125</v>
      </c>
      <c r="K1230" t="s">
        <v>552</v>
      </c>
      <c r="L1230" t="s">
        <v>583</v>
      </c>
    </row>
    <row r="1231" spans="1:12" x14ac:dyDescent="0.3">
      <c r="A1231" t="s">
        <v>7</v>
      </c>
      <c r="B1231">
        <v>2188</v>
      </c>
      <c r="C1231">
        <v>1050</v>
      </c>
      <c r="D1231">
        <v>10940</v>
      </c>
      <c r="E1231">
        <f>SUM(Details[[#This Row],[Actual_Cost]],Details[[#This Row],[Profit]])</f>
        <v>11990</v>
      </c>
      <c r="F1231">
        <v>5</v>
      </c>
      <c r="G1231">
        <f>PRODUCT(Details[[#This Row],[Selling_Cost]],Details[[#This Row],[Quantity]])</f>
        <v>59950</v>
      </c>
      <c r="H1231" t="s">
        <v>16</v>
      </c>
      <c r="I1231" t="s">
        <v>17</v>
      </c>
      <c r="J1231" t="s">
        <v>27</v>
      </c>
      <c r="K1231" t="s">
        <v>539</v>
      </c>
      <c r="L1231" t="s">
        <v>554</v>
      </c>
    </row>
    <row r="1232" spans="1:12" x14ac:dyDescent="0.3">
      <c r="A1232" t="s">
        <v>360</v>
      </c>
      <c r="B1232">
        <v>1364</v>
      </c>
      <c r="C1232">
        <v>1864</v>
      </c>
      <c r="D1232">
        <v>6820</v>
      </c>
      <c r="E1232">
        <f>SUM(Details[[#This Row],[Actual_Cost]],Details[[#This Row],[Profit]])</f>
        <v>8684</v>
      </c>
      <c r="F1232">
        <v>5</v>
      </c>
      <c r="G1232">
        <f>PRODUCT(Details[[#This Row],[Selling_Cost]],Details[[#This Row],[Quantity]])</f>
        <v>43420</v>
      </c>
      <c r="H1232" t="s">
        <v>16</v>
      </c>
      <c r="I1232" t="s">
        <v>146</v>
      </c>
      <c r="J1232" t="s">
        <v>27</v>
      </c>
      <c r="K1232" t="s">
        <v>626</v>
      </c>
      <c r="L1232" t="s">
        <v>565</v>
      </c>
    </row>
    <row r="1233" spans="1:12" x14ac:dyDescent="0.3">
      <c r="A1233" t="s">
        <v>40</v>
      </c>
      <c r="B1233">
        <v>3873</v>
      </c>
      <c r="C1233">
        <v>-891</v>
      </c>
      <c r="D1233">
        <v>23238</v>
      </c>
      <c r="E1233">
        <f>SUM(Details[[#This Row],[Actual_Cost]],Details[[#This Row],[Profit]])</f>
        <v>22347</v>
      </c>
      <c r="F1233">
        <v>6</v>
      </c>
      <c r="G1233">
        <f>PRODUCT(Details[[#This Row],[Selling_Cost]],Details[[#This Row],[Quantity]])</f>
        <v>134082</v>
      </c>
      <c r="H1233" t="s">
        <v>13</v>
      </c>
      <c r="I1233" t="s">
        <v>14</v>
      </c>
      <c r="J1233" t="s">
        <v>27</v>
      </c>
      <c r="K1233" t="s">
        <v>548</v>
      </c>
      <c r="L1233" t="s">
        <v>550</v>
      </c>
    </row>
    <row r="1234" spans="1:12" x14ac:dyDescent="0.3">
      <c r="A1234" t="s">
        <v>479</v>
      </c>
      <c r="B1234">
        <v>1582</v>
      </c>
      <c r="C1234">
        <v>-443</v>
      </c>
      <c r="D1234">
        <v>9492</v>
      </c>
      <c r="E1234">
        <f>SUM(Details[[#This Row],[Actual_Cost]],Details[[#This Row],[Profit]])</f>
        <v>9049</v>
      </c>
      <c r="F1234">
        <v>6</v>
      </c>
      <c r="G1234">
        <f>PRODUCT(Details[[#This Row],[Selling_Cost]],Details[[#This Row],[Quantity]])</f>
        <v>54294</v>
      </c>
      <c r="H1234" t="s">
        <v>8</v>
      </c>
      <c r="I1234" t="s">
        <v>41</v>
      </c>
      <c r="J1234" t="s">
        <v>125</v>
      </c>
      <c r="K1234" t="s">
        <v>610</v>
      </c>
      <c r="L1234" t="s">
        <v>583</v>
      </c>
    </row>
    <row r="1235" spans="1:12" x14ac:dyDescent="0.3">
      <c r="A1235" t="s">
        <v>53</v>
      </c>
      <c r="B1235">
        <v>632</v>
      </c>
      <c r="C1235">
        <v>-316</v>
      </c>
      <c r="D1235">
        <v>3792</v>
      </c>
      <c r="E1235">
        <f>SUM(Details[[#This Row],[Actual_Cost]],Details[[#This Row],[Profit]])</f>
        <v>3476</v>
      </c>
      <c r="F1235">
        <v>6</v>
      </c>
      <c r="G1235">
        <f>PRODUCT(Details[[#This Row],[Selling_Cost]],Details[[#This Row],[Quantity]])</f>
        <v>20856</v>
      </c>
      <c r="H1235" t="s">
        <v>8</v>
      </c>
      <c r="I1235" t="s">
        <v>9</v>
      </c>
      <c r="J1235" t="s">
        <v>10</v>
      </c>
      <c r="K1235" t="s">
        <v>548</v>
      </c>
      <c r="L1235" t="s">
        <v>583</v>
      </c>
    </row>
    <row r="1236" spans="1:12" x14ac:dyDescent="0.3">
      <c r="A1236" t="s">
        <v>417</v>
      </c>
      <c r="B1236">
        <v>1506</v>
      </c>
      <c r="C1236">
        <v>-266</v>
      </c>
      <c r="D1236">
        <v>9036</v>
      </c>
      <c r="E1236">
        <f>SUM(Details[[#This Row],[Actual_Cost]],Details[[#This Row],[Profit]])</f>
        <v>8770</v>
      </c>
      <c r="F1236">
        <v>6</v>
      </c>
      <c r="G1236">
        <f>PRODUCT(Details[[#This Row],[Selling_Cost]],Details[[#This Row],[Quantity]])</f>
        <v>52620</v>
      </c>
      <c r="H1236" t="s">
        <v>13</v>
      </c>
      <c r="I1236" t="s">
        <v>20</v>
      </c>
      <c r="J1236" t="s">
        <v>27</v>
      </c>
      <c r="K1236" t="s">
        <v>548</v>
      </c>
      <c r="L1236" t="s">
        <v>583</v>
      </c>
    </row>
    <row r="1237" spans="1:12" x14ac:dyDescent="0.3">
      <c r="A1237" t="s">
        <v>26</v>
      </c>
      <c r="B1237">
        <v>735</v>
      </c>
      <c r="C1237">
        <v>-235</v>
      </c>
      <c r="D1237">
        <v>4410</v>
      </c>
      <c r="E1237">
        <f>SUM(Details[[#This Row],[Actual_Cost]],Details[[#This Row],[Profit]])</f>
        <v>4175</v>
      </c>
      <c r="F1237">
        <v>6</v>
      </c>
      <c r="G1237">
        <f>PRODUCT(Details[[#This Row],[Selling_Cost]],Details[[#This Row],[Quantity]])</f>
        <v>25050</v>
      </c>
      <c r="H1237" t="s">
        <v>13</v>
      </c>
      <c r="I1237" t="s">
        <v>20</v>
      </c>
      <c r="J1237" t="s">
        <v>10</v>
      </c>
      <c r="K1237" t="s">
        <v>552</v>
      </c>
      <c r="L1237" t="s">
        <v>554</v>
      </c>
    </row>
    <row r="1238" spans="1:12" x14ac:dyDescent="0.3">
      <c r="A1238" t="s">
        <v>480</v>
      </c>
      <c r="B1238">
        <v>2125</v>
      </c>
      <c r="C1238">
        <v>-234</v>
      </c>
      <c r="D1238">
        <v>12750</v>
      </c>
      <c r="E1238">
        <f>SUM(Details[[#This Row],[Actual_Cost]],Details[[#This Row],[Profit]])</f>
        <v>12516</v>
      </c>
      <c r="F1238">
        <v>6</v>
      </c>
      <c r="G1238">
        <f>PRODUCT(Details[[#This Row],[Selling_Cost]],Details[[#This Row],[Quantity]])</f>
        <v>75096</v>
      </c>
      <c r="H1238" t="s">
        <v>13</v>
      </c>
      <c r="I1238" t="s">
        <v>20</v>
      </c>
      <c r="J1238" t="s">
        <v>125</v>
      </c>
      <c r="K1238" t="s">
        <v>539</v>
      </c>
      <c r="L1238" t="s">
        <v>550</v>
      </c>
    </row>
    <row r="1239" spans="1:12" x14ac:dyDescent="0.3">
      <c r="A1239" t="s">
        <v>375</v>
      </c>
      <c r="B1239">
        <v>688</v>
      </c>
      <c r="C1239">
        <v>-103</v>
      </c>
      <c r="D1239">
        <v>4128</v>
      </c>
      <c r="E1239">
        <f>SUM(Details[[#This Row],[Actual_Cost]],Details[[#This Row],[Profit]])</f>
        <v>4025</v>
      </c>
      <c r="F1239">
        <v>6</v>
      </c>
      <c r="G1239">
        <f>PRODUCT(Details[[#This Row],[Selling_Cost]],Details[[#This Row],[Quantity]])</f>
        <v>24150</v>
      </c>
      <c r="H1239" t="s">
        <v>13</v>
      </c>
      <c r="I1239" t="s">
        <v>55</v>
      </c>
      <c r="J1239" t="s">
        <v>42</v>
      </c>
      <c r="K1239" t="s">
        <v>539</v>
      </c>
      <c r="L1239" t="s">
        <v>550</v>
      </c>
    </row>
    <row r="1240" spans="1:12" x14ac:dyDescent="0.3">
      <c r="A1240" t="s">
        <v>186</v>
      </c>
      <c r="B1240">
        <v>341</v>
      </c>
      <c r="C1240">
        <v>-85</v>
      </c>
      <c r="D1240">
        <v>2046</v>
      </c>
      <c r="E1240">
        <f>SUM(Details[[#This Row],[Actual_Cost]],Details[[#This Row],[Profit]])</f>
        <v>1961</v>
      </c>
      <c r="F1240">
        <v>6</v>
      </c>
      <c r="G1240">
        <f>PRODUCT(Details[[#This Row],[Selling_Cost]],Details[[#This Row],[Quantity]])</f>
        <v>11766</v>
      </c>
      <c r="H1240" t="s">
        <v>8</v>
      </c>
      <c r="I1240" t="s">
        <v>41</v>
      </c>
      <c r="J1240" t="s">
        <v>27</v>
      </c>
      <c r="K1240" t="s">
        <v>539</v>
      </c>
      <c r="L1240" t="s">
        <v>554</v>
      </c>
    </row>
    <row r="1241" spans="1:12" x14ac:dyDescent="0.3">
      <c r="A1241" t="s">
        <v>212</v>
      </c>
      <c r="B1241">
        <v>287</v>
      </c>
      <c r="C1241">
        <v>-66</v>
      </c>
      <c r="D1241">
        <v>1722</v>
      </c>
      <c r="E1241">
        <f>SUM(Details[[#This Row],[Actual_Cost]],Details[[#This Row],[Profit]])</f>
        <v>1656</v>
      </c>
      <c r="F1241">
        <v>6</v>
      </c>
      <c r="G1241">
        <f>PRODUCT(Details[[#This Row],[Selling_Cost]],Details[[#This Row],[Quantity]])</f>
        <v>9936</v>
      </c>
      <c r="H1241" t="s">
        <v>8</v>
      </c>
      <c r="I1241" t="s">
        <v>44</v>
      </c>
      <c r="J1241" t="s">
        <v>10</v>
      </c>
      <c r="K1241" t="s">
        <v>548</v>
      </c>
      <c r="L1241" t="s">
        <v>550</v>
      </c>
    </row>
    <row r="1242" spans="1:12" x14ac:dyDescent="0.3">
      <c r="A1242" t="s">
        <v>191</v>
      </c>
      <c r="B1242">
        <v>1829</v>
      </c>
      <c r="C1242">
        <v>-56</v>
      </c>
      <c r="D1242">
        <v>10974</v>
      </c>
      <c r="E1242">
        <f>SUM(Details[[#This Row],[Actual_Cost]],Details[[#This Row],[Profit]])</f>
        <v>10918</v>
      </c>
      <c r="F1242">
        <v>6</v>
      </c>
      <c r="G1242">
        <f>PRODUCT(Details[[#This Row],[Selling_Cost]],Details[[#This Row],[Quantity]])</f>
        <v>65508</v>
      </c>
      <c r="H1242" t="s">
        <v>16</v>
      </c>
      <c r="I1242" t="s">
        <v>146</v>
      </c>
      <c r="J1242" t="s">
        <v>27</v>
      </c>
      <c r="K1242" t="s">
        <v>581</v>
      </c>
      <c r="L1242" t="s">
        <v>585</v>
      </c>
    </row>
    <row r="1243" spans="1:12" x14ac:dyDescent="0.3">
      <c r="A1243" t="s">
        <v>393</v>
      </c>
      <c r="B1243">
        <v>86</v>
      </c>
      <c r="C1243">
        <v>-55</v>
      </c>
      <c r="D1243">
        <v>516</v>
      </c>
      <c r="E1243">
        <f>SUM(Details[[#This Row],[Actual_Cost]],Details[[#This Row],[Profit]])</f>
        <v>461</v>
      </c>
      <c r="F1243">
        <v>6</v>
      </c>
      <c r="G1243">
        <f>PRODUCT(Details[[#This Row],[Selling_Cost]],Details[[#This Row],[Quantity]])</f>
        <v>2766</v>
      </c>
      <c r="H1243" t="s">
        <v>8</v>
      </c>
      <c r="I1243" t="s">
        <v>9</v>
      </c>
      <c r="J1243" t="s">
        <v>10</v>
      </c>
      <c r="K1243" t="s">
        <v>592</v>
      </c>
      <c r="L1243" t="s">
        <v>585</v>
      </c>
    </row>
    <row r="1244" spans="1:12" x14ac:dyDescent="0.3">
      <c r="A1244" t="s">
        <v>450</v>
      </c>
      <c r="B1244">
        <v>57</v>
      </c>
      <c r="C1244">
        <v>-48</v>
      </c>
      <c r="D1244">
        <v>342</v>
      </c>
      <c r="E1244">
        <f>SUM(Details[[#This Row],[Actual_Cost]],Details[[#This Row],[Profit]])</f>
        <v>294</v>
      </c>
      <c r="F1244">
        <v>6</v>
      </c>
      <c r="G1244">
        <f>PRODUCT(Details[[#This Row],[Selling_Cost]],Details[[#This Row],[Quantity]])</f>
        <v>1764</v>
      </c>
      <c r="H1244" t="s">
        <v>8</v>
      </c>
      <c r="I1244" t="s">
        <v>69</v>
      </c>
      <c r="J1244" t="s">
        <v>42</v>
      </c>
      <c r="K1244" t="s">
        <v>552</v>
      </c>
      <c r="L1244" t="s">
        <v>614</v>
      </c>
    </row>
    <row r="1245" spans="1:12" x14ac:dyDescent="0.3">
      <c r="A1245" t="s">
        <v>419</v>
      </c>
      <c r="B1245">
        <v>332</v>
      </c>
      <c r="C1245">
        <v>-43</v>
      </c>
      <c r="D1245">
        <v>1992</v>
      </c>
      <c r="E1245">
        <f>SUM(Details[[#This Row],[Actual_Cost]],Details[[#This Row],[Profit]])</f>
        <v>1949</v>
      </c>
      <c r="F1245">
        <v>6</v>
      </c>
      <c r="G1245">
        <f>PRODUCT(Details[[#This Row],[Selling_Cost]],Details[[#This Row],[Quantity]])</f>
        <v>11694</v>
      </c>
      <c r="H1245" t="s">
        <v>13</v>
      </c>
      <c r="I1245" t="s">
        <v>14</v>
      </c>
      <c r="J1245" t="s">
        <v>18</v>
      </c>
      <c r="K1245" t="s">
        <v>552</v>
      </c>
      <c r="L1245" t="s">
        <v>624</v>
      </c>
    </row>
    <row r="1246" spans="1:12" x14ac:dyDescent="0.3">
      <c r="A1246" t="s">
        <v>45</v>
      </c>
      <c r="B1246">
        <v>216</v>
      </c>
      <c r="C1246">
        <v>-38</v>
      </c>
      <c r="D1246">
        <v>1296</v>
      </c>
      <c r="E1246">
        <f>SUM(Details[[#This Row],[Actual_Cost]],Details[[#This Row],[Profit]])</f>
        <v>1258</v>
      </c>
      <c r="F1246">
        <v>6</v>
      </c>
      <c r="G1246">
        <f>PRODUCT(Details[[#This Row],[Selling_Cost]],Details[[#This Row],[Quantity]])</f>
        <v>7548</v>
      </c>
      <c r="H1246" t="s">
        <v>16</v>
      </c>
      <c r="I1246" t="s">
        <v>32</v>
      </c>
      <c r="J1246" t="s">
        <v>18</v>
      </c>
      <c r="K1246" t="s">
        <v>548</v>
      </c>
      <c r="L1246" t="s">
        <v>614</v>
      </c>
    </row>
    <row r="1247" spans="1:12" x14ac:dyDescent="0.3">
      <c r="A1247" t="s">
        <v>81</v>
      </c>
      <c r="B1247">
        <v>78</v>
      </c>
      <c r="C1247">
        <v>-28</v>
      </c>
      <c r="D1247">
        <v>468</v>
      </c>
      <c r="E1247">
        <f>SUM(Details[[#This Row],[Actual_Cost]],Details[[#This Row],[Profit]])</f>
        <v>440</v>
      </c>
      <c r="F1247">
        <v>6</v>
      </c>
      <c r="G1247">
        <f>PRODUCT(Details[[#This Row],[Selling_Cost]],Details[[#This Row],[Quantity]])</f>
        <v>2640</v>
      </c>
      <c r="H1247" t="s">
        <v>8</v>
      </c>
      <c r="I1247" t="s">
        <v>44</v>
      </c>
      <c r="J1247" t="s">
        <v>18</v>
      </c>
      <c r="K1247" t="s">
        <v>610</v>
      </c>
      <c r="L1247" t="s">
        <v>541</v>
      </c>
    </row>
    <row r="1248" spans="1:12" x14ac:dyDescent="0.3">
      <c r="A1248" t="s">
        <v>103</v>
      </c>
      <c r="B1248">
        <v>185</v>
      </c>
      <c r="C1248">
        <v>-26</v>
      </c>
      <c r="D1248">
        <v>1110</v>
      </c>
      <c r="E1248">
        <f>SUM(Details[[#This Row],[Actual_Cost]],Details[[#This Row],[Profit]])</f>
        <v>1084</v>
      </c>
      <c r="F1248">
        <v>6</v>
      </c>
      <c r="G1248">
        <f>PRODUCT(Details[[#This Row],[Selling_Cost]],Details[[#This Row],[Quantity]])</f>
        <v>6504</v>
      </c>
      <c r="H1248" t="s">
        <v>16</v>
      </c>
      <c r="I1248" t="s">
        <v>23</v>
      </c>
      <c r="J1248" t="s">
        <v>10</v>
      </c>
      <c r="K1248" t="s">
        <v>610</v>
      </c>
      <c r="L1248" t="s">
        <v>541</v>
      </c>
    </row>
    <row r="1249" spans="1:12" x14ac:dyDescent="0.3">
      <c r="A1249" t="s">
        <v>363</v>
      </c>
      <c r="B1249">
        <v>63</v>
      </c>
      <c r="C1249">
        <v>-24</v>
      </c>
      <c r="D1249">
        <v>378</v>
      </c>
      <c r="E1249">
        <f>SUM(Details[[#This Row],[Actual_Cost]],Details[[#This Row],[Profit]])</f>
        <v>354</v>
      </c>
      <c r="F1249">
        <v>6</v>
      </c>
      <c r="G1249">
        <f>PRODUCT(Details[[#This Row],[Selling_Cost]],Details[[#This Row],[Quantity]])</f>
        <v>2124</v>
      </c>
      <c r="H1249" t="s">
        <v>8</v>
      </c>
      <c r="I1249" t="s">
        <v>44</v>
      </c>
      <c r="J1249" t="s">
        <v>10</v>
      </c>
      <c r="K1249" t="s">
        <v>552</v>
      </c>
      <c r="L1249" t="s">
        <v>583</v>
      </c>
    </row>
    <row r="1250" spans="1:12" x14ac:dyDescent="0.3">
      <c r="A1250" t="s">
        <v>286</v>
      </c>
      <c r="B1250">
        <v>63</v>
      </c>
      <c r="C1250">
        <v>-17</v>
      </c>
      <c r="D1250">
        <v>378</v>
      </c>
      <c r="E1250">
        <f>SUM(Details[[#This Row],[Actual_Cost]],Details[[#This Row],[Profit]])</f>
        <v>361</v>
      </c>
      <c r="F1250">
        <v>6</v>
      </c>
      <c r="G1250">
        <f>PRODUCT(Details[[#This Row],[Selling_Cost]],Details[[#This Row],[Quantity]])</f>
        <v>2166</v>
      </c>
      <c r="H1250" t="s">
        <v>8</v>
      </c>
      <c r="I1250" t="s">
        <v>69</v>
      </c>
      <c r="J1250" t="s">
        <v>10</v>
      </c>
      <c r="K1250" t="s">
        <v>578</v>
      </c>
      <c r="L1250" t="s">
        <v>563</v>
      </c>
    </row>
    <row r="1251" spans="1:12" x14ac:dyDescent="0.3">
      <c r="A1251" t="s">
        <v>12</v>
      </c>
      <c r="B1251">
        <v>32</v>
      </c>
      <c r="C1251">
        <v>-16</v>
      </c>
      <c r="D1251">
        <v>192</v>
      </c>
      <c r="E1251">
        <f>SUM(Details[[#This Row],[Actual_Cost]],Details[[#This Row],[Profit]])</f>
        <v>176</v>
      </c>
      <c r="F1251">
        <v>6</v>
      </c>
      <c r="G1251">
        <f>PRODUCT(Details[[#This Row],[Selling_Cost]],Details[[#This Row],[Quantity]])</f>
        <v>1056</v>
      </c>
      <c r="H1251" t="s">
        <v>8</v>
      </c>
      <c r="I1251" t="s">
        <v>9</v>
      </c>
      <c r="J1251" t="s">
        <v>18</v>
      </c>
      <c r="K1251" t="s">
        <v>552</v>
      </c>
      <c r="L1251" t="s">
        <v>585</v>
      </c>
    </row>
    <row r="1252" spans="1:12" x14ac:dyDescent="0.3">
      <c r="A1252" t="s">
        <v>39</v>
      </c>
      <c r="B1252">
        <v>33</v>
      </c>
      <c r="C1252">
        <v>-10</v>
      </c>
      <c r="D1252">
        <v>198</v>
      </c>
      <c r="E1252">
        <f>SUM(Details[[#This Row],[Actual_Cost]],Details[[#This Row],[Profit]])</f>
        <v>188</v>
      </c>
      <c r="F1252">
        <v>6</v>
      </c>
      <c r="G1252">
        <f>PRODUCT(Details[[#This Row],[Selling_Cost]],Details[[#This Row],[Quantity]])</f>
        <v>1128</v>
      </c>
      <c r="H1252" t="s">
        <v>8</v>
      </c>
      <c r="I1252" t="s">
        <v>69</v>
      </c>
      <c r="J1252" t="s">
        <v>18</v>
      </c>
      <c r="K1252" t="s">
        <v>552</v>
      </c>
      <c r="L1252" t="s">
        <v>583</v>
      </c>
    </row>
    <row r="1253" spans="1:12" x14ac:dyDescent="0.3">
      <c r="A1253" t="s">
        <v>214</v>
      </c>
      <c r="B1253">
        <v>50</v>
      </c>
      <c r="C1253">
        <v>-10</v>
      </c>
      <c r="D1253">
        <v>300</v>
      </c>
      <c r="E1253">
        <f>SUM(Details[[#This Row],[Actual_Cost]],Details[[#This Row],[Profit]])</f>
        <v>290</v>
      </c>
      <c r="F1253">
        <v>6</v>
      </c>
      <c r="G1253">
        <f>PRODUCT(Details[[#This Row],[Selling_Cost]],Details[[#This Row],[Quantity]])</f>
        <v>1740</v>
      </c>
      <c r="H1253" t="s">
        <v>8</v>
      </c>
      <c r="I1253" t="s">
        <v>58</v>
      </c>
      <c r="J1253" t="s">
        <v>42</v>
      </c>
      <c r="K1253" t="s">
        <v>543</v>
      </c>
      <c r="L1253" t="s">
        <v>544</v>
      </c>
    </row>
    <row r="1254" spans="1:12" x14ac:dyDescent="0.3">
      <c r="A1254" t="s">
        <v>481</v>
      </c>
      <c r="B1254">
        <v>20</v>
      </c>
      <c r="C1254">
        <v>-9</v>
      </c>
      <c r="D1254">
        <v>120</v>
      </c>
      <c r="E1254">
        <f>SUM(Details[[#This Row],[Actual_Cost]],Details[[#This Row],[Profit]])</f>
        <v>111</v>
      </c>
      <c r="F1254">
        <v>6</v>
      </c>
      <c r="G1254">
        <f>PRODUCT(Details[[#This Row],[Selling_Cost]],Details[[#This Row],[Quantity]])</f>
        <v>666</v>
      </c>
      <c r="H1254" t="s">
        <v>8</v>
      </c>
      <c r="I1254" t="s">
        <v>48</v>
      </c>
      <c r="J1254" t="s">
        <v>42</v>
      </c>
      <c r="K1254" t="s">
        <v>711</v>
      </c>
      <c r="L1254" t="s">
        <v>554</v>
      </c>
    </row>
    <row r="1255" spans="1:12" x14ac:dyDescent="0.3">
      <c r="A1255" t="s">
        <v>417</v>
      </c>
      <c r="B1255">
        <v>109</v>
      </c>
      <c r="C1255">
        <v>-6</v>
      </c>
      <c r="D1255">
        <v>654</v>
      </c>
      <c r="E1255">
        <f>SUM(Details[[#This Row],[Actual_Cost]],Details[[#This Row],[Profit]])</f>
        <v>648</v>
      </c>
      <c r="F1255">
        <v>6</v>
      </c>
      <c r="G1255">
        <f>PRODUCT(Details[[#This Row],[Selling_Cost]],Details[[#This Row],[Quantity]])</f>
        <v>3888</v>
      </c>
      <c r="H1255" t="s">
        <v>8</v>
      </c>
      <c r="I1255" t="s">
        <v>9</v>
      </c>
      <c r="J1255" t="s">
        <v>10</v>
      </c>
      <c r="K1255" t="s">
        <v>548</v>
      </c>
      <c r="L1255" t="s">
        <v>583</v>
      </c>
    </row>
    <row r="1256" spans="1:12" x14ac:dyDescent="0.3">
      <c r="A1256" t="s">
        <v>38</v>
      </c>
      <c r="B1256">
        <v>50</v>
      </c>
      <c r="C1256">
        <v>-4</v>
      </c>
      <c r="D1256">
        <v>300</v>
      </c>
      <c r="E1256">
        <f>SUM(Details[[#This Row],[Actual_Cost]],Details[[#This Row],[Profit]])</f>
        <v>296</v>
      </c>
      <c r="F1256">
        <v>6</v>
      </c>
      <c r="G1256">
        <f>PRODUCT(Details[[#This Row],[Selling_Cost]],Details[[#This Row],[Quantity]])</f>
        <v>1776</v>
      </c>
      <c r="H1256" t="s">
        <v>8</v>
      </c>
      <c r="I1256" t="s">
        <v>46</v>
      </c>
      <c r="J1256" t="s">
        <v>125</v>
      </c>
      <c r="K1256" t="s">
        <v>543</v>
      </c>
      <c r="L1256" t="s">
        <v>546</v>
      </c>
    </row>
    <row r="1257" spans="1:12" x14ac:dyDescent="0.3">
      <c r="A1257" t="s">
        <v>43</v>
      </c>
      <c r="B1257">
        <v>65</v>
      </c>
      <c r="C1257">
        <v>-4</v>
      </c>
      <c r="D1257">
        <v>390</v>
      </c>
      <c r="E1257">
        <f>SUM(Details[[#This Row],[Actual_Cost]],Details[[#This Row],[Profit]])</f>
        <v>386</v>
      </c>
      <c r="F1257">
        <v>6</v>
      </c>
      <c r="G1257">
        <f>PRODUCT(Details[[#This Row],[Selling_Cost]],Details[[#This Row],[Quantity]])</f>
        <v>2316</v>
      </c>
      <c r="H1257" t="s">
        <v>8</v>
      </c>
      <c r="I1257" t="s">
        <v>48</v>
      </c>
      <c r="J1257" t="s">
        <v>10</v>
      </c>
      <c r="K1257" t="s">
        <v>548</v>
      </c>
      <c r="L1257" t="s">
        <v>554</v>
      </c>
    </row>
    <row r="1258" spans="1:12" x14ac:dyDescent="0.3">
      <c r="A1258" t="s">
        <v>482</v>
      </c>
      <c r="B1258">
        <v>299</v>
      </c>
      <c r="C1258">
        <v>0</v>
      </c>
      <c r="D1258">
        <v>1794</v>
      </c>
      <c r="E1258">
        <f>SUM(Details[[#This Row],[Actual_Cost]],Details[[#This Row],[Profit]])</f>
        <v>1794</v>
      </c>
      <c r="F1258">
        <v>6</v>
      </c>
      <c r="G1258">
        <f>PRODUCT(Details[[#This Row],[Selling_Cost]],Details[[#This Row],[Quantity]])</f>
        <v>10764</v>
      </c>
      <c r="H1258" t="s">
        <v>8</v>
      </c>
      <c r="I1258" t="s">
        <v>29</v>
      </c>
      <c r="J1258" t="s">
        <v>10</v>
      </c>
      <c r="K1258" t="s">
        <v>543</v>
      </c>
      <c r="L1258" t="s">
        <v>546</v>
      </c>
    </row>
    <row r="1259" spans="1:12" x14ac:dyDescent="0.3">
      <c r="A1259" t="s">
        <v>157</v>
      </c>
      <c r="B1259">
        <v>1069</v>
      </c>
      <c r="C1259">
        <v>0</v>
      </c>
      <c r="D1259">
        <v>6414</v>
      </c>
      <c r="E1259">
        <f>SUM(Details[[#This Row],[Actual_Cost]],Details[[#This Row],[Profit]])</f>
        <v>6414</v>
      </c>
      <c r="F1259">
        <v>6</v>
      </c>
      <c r="G1259">
        <f>PRODUCT(Details[[#This Row],[Selling_Cost]],Details[[#This Row],[Quantity]])</f>
        <v>38484</v>
      </c>
      <c r="H1259" t="s">
        <v>8</v>
      </c>
      <c r="I1259" t="s">
        <v>9</v>
      </c>
      <c r="J1259" t="s">
        <v>125</v>
      </c>
      <c r="K1259" t="s">
        <v>587</v>
      </c>
      <c r="L1259" t="s">
        <v>554</v>
      </c>
    </row>
    <row r="1260" spans="1:12" x14ac:dyDescent="0.3">
      <c r="A1260" t="s">
        <v>84</v>
      </c>
      <c r="B1260">
        <v>85</v>
      </c>
      <c r="C1260">
        <v>2</v>
      </c>
      <c r="D1260">
        <v>510</v>
      </c>
      <c r="E1260">
        <f>SUM(Details[[#This Row],[Actual_Cost]],Details[[#This Row],[Profit]])</f>
        <v>512</v>
      </c>
      <c r="F1260">
        <v>6</v>
      </c>
      <c r="G1260">
        <f>PRODUCT(Details[[#This Row],[Selling_Cost]],Details[[#This Row],[Quantity]])</f>
        <v>3072</v>
      </c>
      <c r="H1260" t="s">
        <v>8</v>
      </c>
      <c r="I1260" t="s">
        <v>29</v>
      </c>
      <c r="J1260" t="s">
        <v>10</v>
      </c>
      <c r="K1260" t="s">
        <v>641</v>
      </c>
      <c r="L1260" t="s">
        <v>541</v>
      </c>
    </row>
    <row r="1261" spans="1:12" x14ac:dyDescent="0.3">
      <c r="A1261" t="s">
        <v>377</v>
      </c>
      <c r="B1261">
        <v>79</v>
      </c>
      <c r="C1261">
        <v>5</v>
      </c>
      <c r="D1261">
        <v>474</v>
      </c>
      <c r="E1261">
        <f>SUM(Details[[#This Row],[Actual_Cost]],Details[[#This Row],[Profit]])</f>
        <v>479</v>
      </c>
      <c r="F1261">
        <v>6</v>
      </c>
      <c r="G1261">
        <f>PRODUCT(Details[[#This Row],[Selling_Cost]],Details[[#This Row],[Quantity]])</f>
        <v>2874</v>
      </c>
      <c r="H1261" t="s">
        <v>8</v>
      </c>
      <c r="I1261" t="s">
        <v>48</v>
      </c>
      <c r="J1261" t="s">
        <v>42</v>
      </c>
      <c r="K1261" t="s">
        <v>711</v>
      </c>
      <c r="L1261" t="s">
        <v>541</v>
      </c>
    </row>
    <row r="1262" spans="1:12" x14ac:dyDescent="0.3">
      <c r="A1262" t="s">
        <v>101</v>
      </c>
      <c r="B1262">
        <v>92</v>
      </c>
      <c r="C1262">
        <v>5</v>
      </c>
      <c r="D1262">
        <v>552</v>
      </c>
      <c r="E1262">
        <f>SUM(Details[[#This Row],[Actual_Cost]],Details[[#This Row],[Profit]])</f>
        <v>557</v>
      </c>
      <c r="F1262">
        <v>6</v>
      </c>
      <c r="G1262">
        <f>PRODUCT(Details[[#This Row],[Selling_Cost]],Details[[#This Row],[Quantity]])</f>
        <v>3342</v>
      </c>
      <c r="H1262" t="s">
        <v>8</v>
      </c>
      <c r="I1262" t="s">
        <v>48</v>
      </c>
      <c r="J1262" t="s">
        <v>27</v>
      </c>
      <c r="K1262" t="s">
        <v>548</v>
      </c>
      <c r="L1262" t="s">
        <v>544</v>
      </c>
    </row>
    <row r="1263" spans="1:12" x14ac:dyDescent="0.3">
      <c r="A1263" t="s">
        <v>99</v>
      </c>
      <c r="B1263">
        <v>62</v>
      </c>
      <c r="C1263">
        <v>6</v>
      </c>
      <c r="D1263">
        <v>372</v>
      </c>
      <c r="E1263">
        <f>SUM(Details[[#This Row],[Actual_Cost]],Details[[#This Row],[Profit]])</f>
        <v>378</v>
      </c>
      <c r="F1263">
        <v>6</v>
      </c>
      <c r="G1263">
        <f>PRODUCT(Details[[#This Row],[Selling_Cost]],Details[[#This Row],[Quantity]])</f>
        <v>2268</v>
      </c>
      <c r="H1263" t="s">
        <v>8</v>
      </c>
      <c r="I1263" t="s">
        <v>58</v>
      </c>
      <c r="J1263" t="s">
        <v>10</v>
      </c>
      <c r="K1263" t="s">
        <v>543</v>
      </c>
      <c r="L1263" t="s">
        <v>544</v>
      </c>
    </row>
    <row r="1264" spans="1:12" x14ac:dyDescent="0.3">
      <c r="A1264" t="s">
        <v>480</v>
      </c>
      <c r="B1264">
        <v>83</v>
      </c>
      <c r="C1264">
        <v>6</v>
      </c>
      <c r="D1264">
        <v>498</v>
      </c>
      <c r="E1264">
        <f>SUM(Details[[#This Row],[Actual_Cost]],Details[[#This Row],[Profit]])</f>
        <v>504</v>
      </c>
      <c r="F1264">
        <v>6</v>
      </c>
      <c r="G1264">
        <f>PRODUCT(Details[[#This Row],[Selling_Cost]],Details[[#This Row],[Quantity]])</f>
        <v>3024</v>
      </c>
      <c r="H1264" t="s">
        <v>8</v>
      </c>
      <c r="I1264" t="s">
        <v>61</v>
      </c>
      <c r="J1264" t="s">
        <v>125</v>
      </c>
      <c r="K1264" t="s">
        <v>539</v>
      </c>
      <c r="L1264" t="s">
        <v>550</v>
      </c>
    </row>
    <row r="1265" spans="1:12" x14ac:dyDescent="0.3">
      <c r="A1265" t="s">
        <v>216</v>
      </c>
      <c r="B1265">
        <v>50</v>
      </c>
      <c r="C1265">
        <v>7</v>
      </c>
      <c r="D1265">
        <v>300</v>
      </c>
      <c r="E1265">
        <f>SUM(Details[[#This Row],[Actual_Cost]],Details[[#This Row],[Profit]])</f>
        <v>307</v>
      </c>
      <c r="F1265">
        <v>6</v>
      </c>
      <c r="G1265">
        <f>PRODUCT(Details[[#This Row],[Selling_Cost]],Details[[#This Row],[Quantity]])</f>
        <v>1842</v>
      </c>
      <c r="H1265" t="s">
        <v>8</v>
      </c>
      <c r="I1265" t="s">
        <v>58</v>
      </c>
      <c r="J1265" t="s">
        <v>10</v>
      </c>
      <c r="K1265" t="s">
        <v>548</v>
      </c>
      <c r="L1265" t="s">
        <v>567</v>
      </c>
    </row>
    <row r="1266" spans="1:12" x14ac:dyDescent="0.3">
      <c r="A1266" t="s">
        <v>141</v>
      </c>
      <c r="B1266">
        <v>765</v>
      </c>
      <c r="C1266">
        <v>8</v>
      </c>
      <c r="D1266">
        <v>4590</v>
      </c>
      <c r="E1266">
        <f>SUM(Details[[#This Row],[Actual_Cost]],Details[[#This Row],[Profit]])</f>
        <v>4598</v>
      </c>
      <c r="F1266">
        <v>6</v>
      </c>
      <c r="G1266">
        <f>PRODUCT(Details[[#This Row],[Selling_Cost]],Details[[#This Row],[Quantity]])</f>
        <v>27588</v>
      </c>
      <c r="H1266" t="s">
        <v>8</v>
      </c>
      <c r="I1266" t="s">
        <v>9</v>
      </c>
      <c r="J1266" t="s">
        <v>125</v>
      </c>
      <c r="K1266" t="s">
        <v>552</v>
      </c>
      <c r="L1266" t="s">
        <v>563</v>
      </c>
    </row>
    <row r="1267" spans="1:12" x14ac:dyDescent="0.3">
      <c r="A1267" t="s">
        <v>222</v>
      </c>
      <c r="B1267">
        <v>41</v>
      </c>
      <c r="C1267">
        <v>11</v>
      </c>
      <c r="D1267">
        <v>246</v>
      </c>
      <c r="E1267">
        <f>SUM(Details[[#This Row],[Actual_Cost]],Details[[#This Row],[Profit]])</f>
        <v>257</v>
      </c>
      <c r="F1267">
        <v>6</v>
      </c>
      <c r="G1267">
        <f>PRODUCT(Details[[#This Row],[Selling_Cost]],Details[[#This Row],[Quantity]])</f>
        <v>1542</v>
      </c>
      <c r="H1267" t="s">
        <v>8</v>
      </c>
      <c r="I1267" t="s">
        <v>48</v>
      </c>
      <c r="J1267" t="s">
        <v>10</v>
      </c>
      <c r="K1267" t="s">
        <v>581</v>
      </c>
      <c r="L1267" t="s">
        <v>563</v>
      </c>
    </row>
    <row r="1268" spans="1:12" x14ac:dyDescent="0.3">
      <c r="A1268" t="s">
        <v>483</v>
      </c>
      <c r="B1268">
        <v>102</v>
      </c>
      <c r="C1268">
        <v>11</v>
      </c>
      <c r="D1268">
        <v>612</v>
      </c>
      <c r="E1268">
        <f>SUM(Details[[#This Row],[Actual_Cost]],Details[[#This Row],[Profit]])</f>
        <v>623</v>
      </c>
      <c r="F1268">
        <v>6</v>
      </c>
      <c r="G1268">
        <f>PRODUCT(Details[[#This Row],[Selling_Cost]],Details[[#This Row],[Quantity]])</f>
        <v>3738</v>
      </c>
      <c r="H1268" t="s">
        <v>8</v>
      </c>
      <c r="I1268" t="s">
        <v>46</v>
      </c>
      <c r="J1268" t="s">
        <v>10</v>
      </c>
      <c r="K1268" t="s">
        <v>543</v>
      </c>
      <c r="L1268" t="s">
        <v>550</v>
      </c>
    </row>
    <row r="1269" spans="1:12" x14ac:dyDescent="0.3">
      <c r="A1269" t="s">
        <v>378</v>
      </c>
      <c r="B1269">
        <v>240</v>
      </c>
      <c r="C1269">
        <v>12</v>
      </c>
      <c r="D1269">
        <v>1440</v>
      </c>
      <c r="E1269">
        <f>SUM(Details[[#This Row],[Actual_Cost]],Details[[#This Row],[Profit]])</f>
        <v>1452</v>
      </c>
      <c r="F1269">
        <v>6</v>
      </c>
      <c r="G1269">
        <f>PRODUCT(Details[[#This Row],[Selling_Cost]],Details[[#This Row],[Quantity]])</f>
        <v>8712</v>
      </c>
      <c r="H1269" t="s">
        <v>8</v>
      </c>
      <c r="I1269" t="s">
        <v>44</v>
      </c>
      <c r="J1269" t="s">
        <v>18</v>
      </c>
      <c r="K1269" t="s">
        <v>711</v>
      </c>
      <c r="L1269" t="s">
        <v>567</v>
      </c>
    </row>
    <row r="1270" spans="1:12" x14ac:dyDescent="0.3">
      <c r="A1270" t="s">
        <v>95</v>
      </c>
      <c r="B1270">
        <v>261</v>
      </c>
      <c r="C1270">
        <v>13</v>
      </c>
      <c r="D1270">
        <v>1566</v>
      </c>
      <c r="E1270">
        <f>SUM(Details[[#This Row],[Actual_Cost]],Details[[#This Row],[Profit]])</f>
        <v>1579</v>
      </c>
      <c r="F1270">
        <v>6</v>
      </c>
      <c r="G1270">
        <f>PRODUCT(Details[[#This Row],[Selling_Cost]],Details[[#This Row],[Quantity]])</f>
        <v>9474</v>
      </c>
      <c r="H1270" t="s">
        <v>8</v>
      </c>
      <c r="I1270" t="s">
        <v>61</v>
      </c>
      <c r="J1270" t="s">
        <v>27</v>
      </c>
      <c r="K1270" t="s">
        <v>552</v>
      </c>
      <c r="L1270" t="s">
        <v>546</v>
      </c>
    </row>
    <row r="1271" spans="1:12" x14ac:dyDescent="0.3">
      <c r="A1271" t="s">
        <v>311</v>
      </c>
      <c r="B1271">
        <v>401</v>
      </c>
      <c r="C1271">
        <v>13</v>
      </c>
      <c r="D1271">
        <v>2406</v>
      </c>
      <c r="E1271">
        <f>SUM(Details[[#This Row],[Actual_Cost]],Details[[#This Row],[Profit]])</f>
        <v>2419</v>
      </c>
      <c r="F1271">
        <v>6</v>
      </c>
      <c r="G1271">
        <f>PRODUCT(Details[[#This Row],[Selling_Cost]],Details[[#This Row],[Quantity]])</f>
        <v>14514</v>
      </c>
      <c r="H1271" t="s">
        <v>16</v>
      </c>
      <c r="I1271" t="s">
        <v>23</v>
      </c>
      <c r="J1271" t="s">
        <v>27</v>
      </c>
      <c r="K1271" t="s">
        <v>548</v>
      </c>
      <c r="L1271" t="s">
        <v>541</v>
      </c>
    </row>
    <row r="1272" spans="1:12" x14ac:dyDescent="0.3">
      <c r="A1272" t="s">
        <v>226</v>
      </c>
      <c r="B1272">
        <v>652</v>
      </c>
      <c r="C1272">
        <v>13</v>
      </c>
      <c r="D1272">
        <v>3912</v>
      </c>
      <c r="E1272">
        <f>SUM(Details[[#This Row],[Actual_Cost]],Details[[#This Row],[Profit]])</f>
        <v>3925</v>
      </c>
      <c r="F1272">
        <v>6</v>
      </c>
      <c r="G1272">
        <f>PRODUCT(Details[[#This Row],[Selling_Cost]],Details[[#This Row],[Quantity]])</f>
        <v>23550</v>
      </c>
      <c r="H1272" t="s">
        <v>16</v>
      </c>
      <c r="I1272" t="s">
        <v>32</v>
      </c>
      <c r="J1272" t="s">
        <v>42</v>
      </c>
      <c r="K1272" t="s">
        <v>552</v>
      </c>
      <c r="L1272" t="s">
        <v>544</v>
      </c>
    </row>
    <row r="1273" spans="1:12" x14ac:dyDescent="0.3">
      <c r="A1273" t="s">
        <v>26</v>
      </c>
      <c r="B1273">
        <v>91</v>
      </c>
      <c r="C1273">
        <v>15</v>
      </c>
      <c r="D1273">
        <v>546</v>
      </c>
      <c r="E1273">
        <f>SUM(Details[[#This Row],[Actual_Cost]],Details[[#This Row],[Profit]])</f>
        <v>561</v>
      </c>
      <c r="F1273">
        <v>6</v>
      </c>
      <c r="G1273">
        <f>PRODUCT(Details[[#This Row],[Selling_Cost]],Details[[#This Row],[Quantity]])</f>
        <v>3366</v>
      </c>
      <c r="H1273" t="s">
        <v>8</v>
      </c>
      <c r="I1273" t="s">
        <v>46</v>
      </c>
      <c r="J1273" t="s">
        <v>18</v>
      </c>
      <c r="K1273" t="s">
        <v>552</v>
      </c>
      <c r="L1273" t="s">
        <v>554</v>
      </c>
    </row>
    <row r="1274" spans="1:12" x14ac:dyDescent="0.3">
      <c r="A1274" t="s">
        <v>244</v>
      </c>
      <c r="B1274">
        <v>39</v>
      </c>
      <c r="C1274">
        <v>16</v>
      </c>
      <c r="D1274">
        <v>234</v>
      </c>
      <c r="E1274">
        <f>SUM(Details[[#This Row],[Actual_Cost]],Details[[#This Row],[Profit]])</f>
        <v>250</v>
      </c>
      <c r="F1274">
        <v>6</v>
      </c>
      <c r="G1274">
        <f>PRODUCT(Details[[#This Row],[Selling_Cost]],Details[[#This Row],[Quantity]])</f>
        <v>1500</v>
      </c>
      <c r="H1274" t="s">
        <v>8</v>
      </c>
      <c r="I1274" t="s">
        <v>58</v>
      </c>
      <c r="J1274" t="s">
        <v>18</v>
      </c>
      <c r="K1274" t="s">
        <v>569</v>
      </c>
      <c r="L1274" t="s">
        <v>567</v>
      </c>
    </row>
    <row r="1275" spans="1:12" x14ac:dyDescent="0.3">
      <c r="A1275" t="s">
        <v>424</v>
      </c>
      <c r="B1275">
        <v>117</v>
      </c>
      <c r="C1275">
        <v>17</v>
      </c>
      <c r="D1275">
        <v>702</v>
      </c>
      <c r="E1275">
        <f>SUM(Details[[#This Row],[Actual_Cost]],Details[[#This Row],[Profit]])</f>
        <v>719</v>
      </c>
      <c r="F1275">
        <v>6</v>
      </c>
      <c r="G1275">
        <f>PRODUCT(Details[[#This Row],[Selling_Cost]],Details[[#This Row],[Quantity]])</f>
        <v>4314</v>
      </c>
      <c r="H1275" t="s">
        <v>8</v>
      </c>
      <c r="I1275" t="s">
        <v>44</v>
      </c>
      <c r="J1275" t="s">
        <v>10</v>
      </c>
      <c r="K1275" t="s">
        <v>552</v>
      </c>
      <c r="L1275" t="s">
        <v>583</v>
      </c>
    </row>
    <row r="1276" spans="1:12" x14ac:dyDescent="0.3">
      <c r="A1276" t="s">
        <v>301</v>
      </c>
      <c r="B1276">
        <v>171</v>
      </c>
      <c r="C1276">
        <v>17</v>
      </c>
      <c r="D1276">
        <v>1026</v>
      </c>
      <c r="E1276">
        <f>SUM(Details[[#This Row],[Actual_Cost]],Details[[#This Row],[Profit]])</f>
        <v>1043</v>
      </c>
      <c r="F1276">
        <v>6</v>
      </c>
      <c r="G1276">
        <f>PRODUCT(Details[[#This Row],[Selling_Cost]],Details[[#This Row],[Quantity]])</f>
        <v>6258</v>
      </c>
      <c r="H1276" t="s">
        <v>8</v>
      </c>
      <c r="I1276" t="s">
        <v>46</v>
      </c>
      <c r="J1276" t="s">
        <v>18</v>
      </c>
      <c r="K1276" t="s">
        <v>569</v>
      </c>
      <c r="L1276" t="s">
        <v>546</v>
      </c>
    </row>
    <row r="1277" spans="1:12" x14ac:dyDescent="0.3">
      <c r="A1277" t="s">
        <v>484</v>
      </c>
      <c r="B1277">
        <v>168</v>
      </c>
      <c r="C1277">
        <v>18</v>
      </c>
      <c r="D1277">
        <v>1008</v>
      </c>
      <c r="E1277">
        <f>SUM(Details[[#This Row],[Actual_Cost]],Details[[#This Row],[Profit]])</f>
        <v>1026</v>
      </c>
      <c r="F1277">
        <v>6</v>
      </c>
      <c r="G1277">
        <f>PRODUCT(Details[[#This Row],[Selling_Cost]],Details[[#This Row],[Quantity]])</f>
        <v>6156</v>
      </c>
      <c r="H1277" t="s">
        <v>8</v>
      </c>
      <c r="I1277" t="s">
        <v>29</v>
      </c>
      <c r="J1277" t="s">
        <v>42</v>
      </c>
      <c r="K1277" t="s">
        <v>581</v>
      </c>
      <c r="L1277" t="s">
        <v>544</v>
      </c>
    </row>
    <row r="1278" spans="1:12" x14ac:dyDescent="0.3">
      <c r="A1278" t="s">
        <v>224</v>
      </c>
      <c r="B1278">
        <v>53</v>
      </c>
      <c r="C1278">
        <v>24</v>
      </c>
      <c r="D1278">
        <v>318</v>
      </c>
      <c r="E1278">
        <f>SUM(Details[[#This Row],[Actual_Cost]],Details[[#This Row],[Profit]])</f>
        <v>342</v>
      </c>
      <c r="F1278">
        <v>6</v>
      </c>
      <c r="G1278">
        <f>PRODUCT(Details[[#This Row],[Selling_Cost]],Details[[#This Row],[Quantity]])</f>
        <v>2052</v>
      </c>
      <c r="H1278" t="s">
        <v>8</v>
      </c>
      <c r="I1278" t="s">
        <v>48</v>
      </c>
      <c r="J1278" t="s">
        <v>125</v>
      </c>
      <c r="K1278" t="s">
        <v>596</v>
      </c>
      <c r="L1278" t="s">
        <v>567</v>
      </c>
    </row>
    <row r="1279" spans="1:12" x14ac:dyDescent="0.3">
      <c r="A1279" t="s">
        <v>97</v>
      </c>
      <c r="B1279">
        <v>59</v>
      </c>
      <c r="C1279">
        <v>24</v>
      </c>
      <c r="D1279">
        <v>354</v>
      </c>
      <c r="E1279">
        <f>SUM(Details[[#This Row],[Actual_Cost]],Details[[#This Row],[Profit]])</f>
        <v>378</v>
      </c>
      <c r="F1279">
        <v>6</v>
      </c>
      <c r="G1279">
        <f>PRODUCT(Details[[#This Row],[Selling_Cost]],Details[[#This Row],[Quantity]])</f>
        <v>2268</v>
      </c>
      <c r="H1279" t="s">
        <v>8</v>
      </c>
      <c r="I1279" t="s">
        <v>44</v>
      </c>
      <c r="J1279" t="s">
        <v>42</v>
      </c>
      <c r="K1279" t="s">
        <v>661</v>
      </c>
      <c r="L1279" t="s">
        <v>541</v>
      </c>
    </row>
    <row r="1280" spans="1:12" x14ac:dyDescent="0.3">
      <c r="A1280" t="s">
        <v>232</v>
      </c>
      <c r="B1280">
        <v>82</v>
      </c>
      <c r="C1280">
        <v>24</v>
      </c>
      <c r="D1280">
        <v>492</v>
      </c>
      <c r="E1280">
        <f>SUM(Details[[#This Row],[Actual_Cost]],Details[[#This Row],[Profit]])</f>
        <v>516</v>
      </c>
      <c r="F1280">
        <v>6</v>
      </c>
      <c r="G1280">
        <f>PRODUCT(Details[[#This Row],[Selling_Cost]],Details[[#This Row],[Quantity]])</f>
        <v>3096</v>
      </c>
      <c r="H1280" t="s">
        <v>8</v>
      </c>
      <c r="I1280" t="s">
        <v>48</v>
      </c>
      <c r="J1280" t="s">
        <v>125</v>
      </c>
      <c r="K1280" t="s">
        <v>552</v>
      </c>
      <c r="L1280" t="s">
        <v>546</v>
      </c>
    </row>
    <row r="1281" spans="1:12" x14ac:dyDescent="0.3">
      <c r="A1281" t="s">
        <v>463</v>
      </c>
      <c r="B1281">
        <v>115</v>
      </c>
      <c r="C1281">
        <v>25</v>
      </c>
      <c r="D1281">
        <v>690</v>
      </c>
      <c r="E1281">
        <f>SUM(Details[[#This Row],[Actual_Cost]],Details[[#This Row],[Profit]])</f>
        <v>715</v>
      </c>
      <c r="F1281">
        <v>6</v>
      </c>
      <c r="G1281">
        <f>PRODUCT(Details[[#This Row],[Selling_Cost]],Details[[#This Row],[Quantity]])</f>
        <v>4290</v>
      </c>
      <c r="H1281" t="s">
        <v>8</v>
      </c>
      <c r="I1281" t="s">
        <v>29</v>
      </c>
      <c r="J1281" t="s">
        <v>10</v>
      </c>
      <c r="K1281" t="s">
        <v>552</v>
      </c>
      <c r="L1281" t="s">
        <v>563</v>
      </c>
    </row>
    <row r="1282" spans="1:12" x14ac:dyDescent="0.3">
      <c r="A1282" t="s">
        <v>485</v>
      </c>
      <c r="B1282">
        <v>105</v>
      </c>
      <c r="C1282">
        <v>33</v>
      </c>
      <c r="D1282">
        <v>630</v>
      </c>
      <c r="E1282">
        <f>SUM(Details[[#This Row],[Actual_Cost]],Details[[#This Row],[Profit]])</f>
        <v>663</v>
      </c>
      <c r="F1282">
        <v>6</v>
      </c>
      <c r="G1282">
        <f>PRODUCT(Details[[#This Row],[Selling_Cost]],Details[[#This Row],[Quantity]])</f>
        <v>3978</v>
      </c>
      <c r="H1282" t="s">
        <v>8</v>
      </c>
      <c r="I1282" t="s">
        <v>9</v>
      </c>
      <c r="J1282" t="s">
        <v>125</v>
      </c>
      <c r="K1282" t="s">
        <v>552</v>
      </c>
      <c r="L1282" t="s">
        <v>546</v>
      </c>
    </row>
    <row r="1283" spans="1:12" x14ac:dyDescent="0.3">
      <c r="A1283" t="s">
        <v>486</v>
      </c>
      <c r="B1283">
        <v>109</v>
      </c>
      <c r="C1283">
        <v>35</v>
      </c>
      <c r="D1283">
        <v>654</v>
      </c>
      <c r="E1283">
        <f>SUM(Details[[#This Row],[Actual_Cost]],Details[[#This Row],[Profit]])</f>
        <v>689</v>
      </c>
      <c r="F1283">
        <v>6</v>
      </c>
      <c r="G1283">
        <f>PRODUCT(Details[[#This Row],[Selling_Cost]],Details[[#This Row],[Quantity]])</f>
        <v>4134</v>
      </c>
      <c r="H1283" t="s">
        <v>8</v>
      </c>
      <c r="I1283" t="s">
        <v>46</v>
      </c>
      <c r="J1283" t="s">
        <v>10</v>
      </c>
      <c r="K1283" t="s">
        <v>641</v>
      </c>
      <c r="L1283" t="s">
        <v>541</v>
      </c>
    </row>
    <row r="1284" spans="1:12" x14ac:dyDescent="0.3">
      <c r="A1284" t="s">
        <v>295</v>
      </c>
      <c r="B1284">
        <v>290</v>
      </c>
      <c r="C1284">
        <v>35</v>
      </c>
      <c r="D1284">
        <v>1740</v>
      </c>
      <c r="E1284">
        <f>SUM(Details[[#This Row],[Actual_Cost]],Details[[#This Row],[Profit]])</f>
        <v>1775</v>
      </c>
      <c r="F1284">
        <v>6</v>
      </c>
      <c r="G1284">
        <f>PRODUCT(Details[[#This Row],[Selling_Cost]],Details[[#This Row],[Quantity]])</f>
        <v>10650</v>
      </c>
      <c r="H1284" t="s">
        <v>8</v>
      </c>
      <c r="I1284" t="s">
        <v>48</v>
      </c>
      <c r="J1284" t="s">
        <v>10</v>
      </c>
      <c r="K1284" t="s">
        <v>569</v>
      </c>
      <c r="L1284" t="s">
        <v>546</v>
      </c>
    </row>
    <row r="1285" spans="1:12" x14ac:dyDescent="0.3">
      <c r="A1285" t="s">
        <v>25</v>
      </c>
      <c r="B1285">
        <v>107</v>
      </c>
      <c r="C1285">
        <v>36</v>
      </c>
      <c r="D1285">
        <v>642</v>
      </c>
      <c r="E1285">
        <f>SUM(Details[[#This Row],[Actual_Cost]],Details[[#This Row],[Profit]])</f>
        <v>678</v>
      </c>
      <c r="F1285">
        <v>6</v>
      </c>
      <c r="G1285">
        <f>PRODUCT(Details[[#This Row],[Selling_Cost]],Details[[#This Row],[Quantity]])</f>
        <v>4068</v>
      </c>
      <c r="H1285" t="s">
        <v>8</v>
      </c>
      <c r="I1285" t="s">
        <v>29</v>
      </c>
      <c r="J1285" t="s">
        <v>10</v>
      </c>
      <c r="K1285" t="s">
        <v>552</v>
      </c>
      <c r="L1285" t="s">
        <v>565</v>
      </c>
    </row>
    <row r="1286" spans="1:12" x14ac:dyDescent="0.3">
      <c r="A1286" t="s">
        <v>487</v>
      </c>
      <c r="B1286">
        <v>176</v>
      </c>
      <c r="C1286">
        <v>37</v>
      </c>
      <c r="D1286">
        <v>1056</v>
      </c>
      <c r="E1286">
        <f>SUM(Details[[#This Row],[Actual_Cost]],Details[[#This Row],[Profit]])</f>
        <v>1093</v>
      </c>
      <c r="F1286">
        <v>6</v>
      </c>
      <c r="G1286">
        <f>PRODUCT(Details[[#This Row],[Selling_Cost]],Details[[#This Row],[Quantity]])</f>
        <v>6558</v>
      </c>
      <c r="H1286" t="s">
        <v>13</v>
      </c>
      <c r="I1286" t="s">
        <v>55</v>
      </c>
      <c r="J1286" t="s">
        <v>10</v>
      </c>
      <c r="K1286" t="s">
        <v>581</v>
      </c>
      <c r="L1286" t="s">
        <v>583</v>
      </c>
    </row>
    <row r="1287" spans="1:12" x14ac:dyDescent="0.3">
      <c r="A1287" t="s">
        <v>98</v>
      </c>
      <c r="B1287">
        <v>1599</v>
      </c>
      <c r="C1287">
        <v>37</v>
      </c>
      <c r="D1287">
        <v>9594</v>
      </c>
      <c r="E1287">
        <f>SUM(Details[[#This Row],[Actual_Cost]],Details[[#This Row],[Profit]])</f>
        <v>9631</v>
      </c>
      <c r="F1287">
        <v>6</v>
      </c>
      <c r="G1287">
        <f>PRODUCT(Details[[#This Row],[Selling_Cost]],Details[[#This Row],[Quantity]])</f>
        <v>57786</v>
      </c>
      <c r="H1287" t="s">
        <v>13</v>
      </c>
      <c r="I1287" t="s">
        <v>34</v>
      </c>
      <c r="J1287" t="s">
        <v>18</v>
      </c>
      <c r="K1287" t="s">
        <v>607</v>
      </c>
      <c r="L1287" t="s">
        <v>550</v>
      </c>
    </row>
    <row r="1288" spans="1:12" x14ac:dyDescent="0.3">
      <c r="A1288" t="s">
        <v>218</v>
      </c>
      <c r="B1288">
        <v>122</v>
      </c>
      <c r="C1288">
        <v>38</v>
      </c>
      <c r="D1288">
        <v>732</v>
      </c>
      <c r="E1288">
        <f>SUM(Details[[#This Row],[Actual_Cost]],Details[[#This Row],[Profit]])</f>
        <v>770</v>
      </c>
      <c r="F1288">
        <v>6</v>
      </c>
      <c r="G1288">
        <f>PRODUCT(Details[[#This Row],[Selling_Cost]],Details[[#This Row],[Quantity]])</f>
        <v>4620</v>
      </c>
      <c r="H1288" t="s">
        <v>8</v>
      </c>
      <c r="I1288" t="s">
        <v>46</v>
      </c>
      <c r="J1288" t="s">
        <v>27</v>
      </c>
      <c r="K1288" t="s">
        <v>548</v>
      </c>
      <c r="L1288" t="s">
        <v>541</v>
      </c>
    </row>
    <row r="1289" spans="1:12" x14ac:dyDescent="0.3">
      <c r="A1289" t="s">
        <v>226</v>
      </c>
      <c r="B1289">
        <v>114</v>
      </c>
      <c r="C1289">
        <v>41</v>
      </c>
      <c r="D1289">
        <v>684</v>
      </c>
      <c r="E1289">
        <f>SUM(Details[[#This Row],[Actual_Cost]],Details[[#This Row],[Profit]])</f>
        <v>725</v>
      </c>
      <c r="F1289">
        <v>6</v>
      </c>
      <c r="G1289">
        <f>PRODUCT(Details[[#This Row],[Selling_Cost]],Details[[#This Row],[Quantity]])</f>
        <v>4350</v>
      </c>
      <c r="H1289" t="s">
        <v>16</v>
      </c>
      <c r="I1289" t="s">
        <v>32</v>
      </c>
      <c r="J1289" t="s">
        <v>10</v>
      </c>
      <c r="K1289" t="s">
        <v>552</v>
      </c>
      <c r="L1289" t="s">
        <v>544</v>
      </c>
    </row>
    <row r="1290" spans="1:12" x14ac:dyDescent="0.3">
      <c r="A1290" t="s">
        <v>258</v>
      </c>
      <c r="B1290">
        <v>284</v>
      </c>
      <c r="C1290">
        <v>44</v>
      </c>
      <c r="D1290">
        <v>1704</v>
      </c>
      <c r="E1290">
        <f>SUM(Details[[#This Row],[Actual_Cost]],Details[[#This Row],[Profit]])</f>
        <v>1748</v>
      </c>
      <c r="F1290">
        <v>6</v>
      </c>
      <c r="G1290">
        <f>PRODUCT(Details[[#This Row],[Selling_Cost]],Details[[#This Row],[Quantity]])</f>
        <v>10488</v>
      </c>
      <c r="H1290" t="s">
        <v>8</v>
      </c>
      <c r="I1290" t="s">
        <v>48</v>
      </c>
      <c r="J1290" t="s">
        <v>10</v>
      </c>
      <c r="K1290" t="s">
        <v>607</v>
      </c>
      <c r="L1290" t="s">
        <v>541</v>
      </c>
    </row>
    <row r="1291" spans="1:12" x14ac:dyDescent="0.3">
      <c r="A1291" t="s">
        <v>318</v>
      </c>
      <c r="B1291">
        <v>149</v>
      </c>
      <c r="C1291">
        <v>48</v>
      </c>
      <c r="D1291">
        <v>894</v>
      </c>
      <c r="E1291">
        <f>SUM(Details[[#This Row],[Actual_Cost]],Details[[#This Row],[Profit]])</f>
        <v>942</v>
      </c>
      <c r="F1291">
        <v>6</v>
      </c>
      <c r="G1291">
        <f>PRODUCT(Details[[#This Row],[Selling_Cost]],Details[[#This Row],[Quantity]])</f>
        <v>5652</v>
      </c>
      <c r="H1291" t="s">
        <v>8</v>
      </c>
      <c r="I1291" t="s">
        <v>29</v>
      </c>
      <c r="J1291" t="s">
        <v>10</v>
      </c>
      <c r="K1291" t="s">
        <v>548</v>
      </c>
      <c r="L1291" t="s">
        <v>567</v>
      </c>
    </row>
    <row r="1292" spans="1:12" x14ac:dyDescent="0.3">
      <c r="A1292" t="s">
        <v>489</v>
      </c>
      <c r="B1292">
        <v>152</v>
      </c>
      <c r="C1292">
        <v>50</v>
      </c>
      <c r="D1292">
        <v>912</v>
      </c>
      <c r="E1292">
        <f>SUM(Details[[#This Row],[Actual_Cost]],Details[[#This Row],[Profit]])</f>
        <v>962</v>
      </c>
      <c r="F1292">
        <v>6</v>
      </c>
      <c r="G1292">
        <f>PRODUCT(Details[[#This Row],[Selling_Cost]],Details[[#This Row],[Quantity]])</f>
        <v>5772</v>
      </c>
      <c r="H1292" t="s">
        <v>8</v>
      </c>
      <c r="I1292" t="s">
        <v>29</v>
      </c>
      <c r="J1292" t="s">
        <v>10</v>
      </c>
      <c r="K1292" t="s">
        <v>552</v>
      </c>
      <c r="L1292" t="s">
        <v>541</v>
      </c>
    </row>
    <row r="1293" spans="1:12" x14ac:dyDescent="0.3">
      <c r="A1293" t="s">
        <v>488</v>
      </c>
      <c r="B1293">
        <v>152</v>
      </c>
      <c r="C1293">
        <v>50</v>
      </c>
      <c r="D1293">
        <v>912</v>
      </c>
      <c r="E1293">
        <f>SUM(Details[[#This Row],[Actual_Cost]],Details[[#This Row],[Profit]])</f>
        <v>962</v>
      </c>
      <c r="F1293">
        <v>6</v>
      </c>
      <c r="G1293">
        <f>PRODUCT(Details[[#This Row],[Selling_Cost]],Details[[#This Row],[Quantity]])</f>
        <v>5772</v>
      </c>
      <c r="H1293" t="s">
        <v>8</v>
      </c>
      <c r="I1293" t="s">
        <v>29</v>
      </c>
      <c r="J1293" t="s">
        <v>18</v>
      </c>
      <c r="K1293" t="s">
        <v>543</v>
      </c>
      <c r="L1293" t="s">
        <v>550</v>
      </c>
    </row>
    <row r="1294" spans="1:12" x14ac:dyDescent="0.3">
      <c r="A1294" t="s">
        <v>249</v>
      </c>
      <c r="B1294">
        <v>648</v>
      </c>
      <c r="C1294">
        <v>50</v>
      </c>
      <c r="D1294">
        <v>3888</v>
      </c>
      <c r="E1294">
        <f>SUM(Details[[#This Row],[Actual_Cost]],Details[[#This Row],[Profit]])</f>
        <v>3938</v>
      </c>
      <c r="F1294">
        <v>6</v>
      </c>
      <c r="G1294">
        <f>PRODUCT(Details[[#This Row],[Selling_Cost]],Details[[#This Row],[Quantity]])</f>
        <v>23628</v>
      </c>
      <c r="H1294" t="s">
        <v>13</v>
      </c>
      <c r="I1294" t="s">
        <v>34</v>
      </c>
      <c r="J1294" t="s">
        <v>27</v>
      </c>
      <c r="K1294" t="s">
        <v>581</v>
      </c>
      <c r="L1294" t="s">
        <v>567</v>
      </c>
    </row>
    <row r="1295" spans="1:12" x14ac:dyDescent="0.3">
      <c r="A1295" t="s">
        <v>308</v>
      </c>
      <c r="B1295">
        <v>262</v>
      </c>
      <c r="C1295">
        <v>64</v>
      </c>
      <c r="D1295">
        <v>1572</v>
      </c>
      <c r="E1295">
        <f>SUM(Details[[#This Row],[Actual_Cost]],Details[[#This Row],[Profit]])</f>
        <v>1636</v>
      </c>
      <c r="F1295">
        <v>6</v>
      </c>
      <c r="G1295">
        <f>PRODUCT(Details[[#This Row],[Selling_Cost]],Details[[#This Row],[Quantity]])</f>
        <v>9816</v>
      </c>
      <c r="H1295" t="s">
        <v>8</v>
      </c>
      <c r="I1295" t="s">
        <v>9</v>
      </c>
      <c r="J1295" t="s">
        <v>125</v>
      </c>
      <c r="K1295" t="s">
        <v>610</v>
      </c>
      <c r="L1295" t="s">
        <v>563</v>
      </c>
    </row>
    <row r="1296" spans="1:12" x14ac:dyDescent="0.3">
      <c r="A1296" t="s">
        <v>106</v>
      </c>
      <c r="B1296">
        <v>302</v>
      </c>
      <c r="C1296">
        <v>75</v>
      </c>
      <c r="D1296">
        <v>1812</v>
      </c>
      <c r="E1296">
        <f>SUM(Details[[#This Row],[Actual_Cost]],Details[[#This Row],[Profit]])</f>
        <v>1887</v>
      </c>
      <c r="F1296">
        <v>6</v>
      </c>
      <c r="G1296">
        <f>PRODUCT(Details[[#This Row],[Selling_Cost]],Details[[#This Row],[Quantity]])</f>
        <v>11322</v>
      </c>
      <c r="H1296" t="s">
        <v>16</v>
      </c>
      <c r="I1296" t="s">
        <v>32</v>
      </c>
      <c r="J1296" t="s">
        <v>42</v>
      </c>
      <c r="K1296" t="s">
        <v>596</v>
      </c>
      <c r="L1296" t="s">
        <v>541</v>
      </c>
    </row>
    <row r="1297" spans="1:12" x14ac:dyDescent="0.3">
      <c r="A1297" t="s">
        <v>186</v>
      </c>
      <c r="B1297">
        <v>620</v>
      </c>
      <c r="C1297">
        <v>82</v>
      </c>
      <c r="D1297">
        <v>3720</v>
      </c>
      <c r="E1297">
        <f>SUM(Details[[#This Row],[Actual_Cost]],Details[[#This Row],[Profit]])</f>
        <v>3802</v>
      </c>
      <c r="F1297">
        <v>6</v>
      </c>
      <c r="G1297">
        <f>PRODUCT(Details[[#This Row],[Selling_Cost]],Details[[#This Row],[Quantity]])</f>
        <v>22812</v>
      </c>
      <c r="H1297" t="s">
        <v>13</v>
      </c>
      <c r="I1297" t="s">
        <v>55</v>
      </c>
      <c r="J1297" t="s">
        <v>10</v>
      </c>
      <c r="K1297" t="s">
        <v>539</v>
      </c>
      <c r="L1297" t="s">
        <v>554</v>
      </c>
    </row>
    <row r="1298" spans="1:12" x14ac:dyDescent="0.3">
      <c r="A1298" t="s">
        <v>314</v>
      </c>
      <c r="B1298">
        <v>184</v>
      </c>
      <c r="C1298">
        <v>85</v>
      </c>
      <c r="D1298">
        <v>1104</v>
      </c>
      <c r="E1298">
        <f>SUM(Details[[#This Row],[Actual_Cost]],Details[[#This Row],[Profit]])</f>
        <v>1189</v>
      </c>
      <c r="F1298">
        <v>6</v>
      </c>
      <c r="G1298">
        <f>PRODUCT(Details[[#This Row],[Selling_Cost]],Details[[#This Row],[Quantity]])</f>
        <v>7134</v>
      </c>
      <c r="H1298" t="s">
        <v>8</v>
      </c>
      <c r="I1298" t="s">
        <v>46</v>
      </c>
      <c r="J1298" t="s">
        <v>18</v>
      </c>
      <c r="K1298" t="s">
        <v>632</v>
      </c>
      <c r="L1298" t="s">
        <v>541</v>
      </c>
    </row>
    <row r="1299" spans="1:12" x14ac:dyDescent="0.3">
      <c r="A1299" t="s">
        <v>243</v>
      </c>
      <c r="B1299">
        <v>391</v>
      </c>
      <c r="C1299">
        <v>90</v>
      </c>
      <c r="D1299">
        <v>2346</v>
      </c>
      <c r="E1299">
        <f>SUM(Details[[#This Row],[Actual_Cost]],Details[[#This Row],[Profit]])</f>
        <v>2436</v>
      </c>
      <c r="F1299">
        <v>6</v>
      </c>
      <c r="G1299">
        <f>PRODUCT(Details[[#This Row],[Selling_Cost]],Details[[#This Row],[Quantity]])</f>
        <v>14616</v>
      </c>
      <c r="H1299" t="s">
        <v>13</v>
      </c>
      <c r="I1299" t="s">
        <v>14</v>
      </c>
      <c r="J1299" t="s">
        <v>42</v>
      </c>
      <c r="K1299" t="s">
        <v>578</v>
      </c>
      <c r="L1299" t="s">
        <v>541</v>
      </c>
    </row>
    <row r="1300" spans="1:12" x14ac:dyDescent="0.3">
      <c r="A1300" t="s">
        <v>490</v>
      </c>
      <c r="B1300">
        <v>304</v>
      </c>
      <c r="C1300">
        <v>97</v>
      </c>
      <c r="D1300">
        <v>1824</v>
      </c>
      <c r="E1300">
        <f>SUM(Details[[#This Row],[Actual_Cost]],Details[[#This Row],[Profit]])</f>
        <v>1921</v>
      </c>
      <c r="F1300">
        <v>6</v>
      </c>
      <c r="G1300">
        <f>PRODUCT(Details[[#This Row],[Selling_Cost]],Details[[#This Row],[Quantity]])</f>
        <v>11526</v>
      </c>
      <c r="H1300" t="s">
        <v>8</v>
      </c>
      <c r="I1300" t="s">
        <v>29</v>
      </c>
      <c r="J1300" t="s">
        <v>18</v>
      </c>
      <c r="K1300" t="s">
        <v>543</v>
      </c>
      <c r="L1300" t="s">
        <v>546</v>
      </c>
    </row>
    <row r="1301" spans="1:12" x14ac:dyDescent="0.3">
      <c r="A1301" t="s">
        <v>229</v>
      </c>
      <c r="B1301">
        <v>762</v>
      </c>
      <c r="C1301">
        <v>101</v>
      </c>
      <c r="D1301">
        <v>4572</v>
      </c>
      <c r="E1301">
        <f>SUM(Details[[#This Row],[Actual_Cost]],Details[[#This Row],[Profit]])</f>
        <v>4673</v>
      </c>
      <c r="F1301">
        <v>6</v>
      </c>
      <c r="G1301">
        <f>PRODUCT(Details[[#This Row],[Selling_Cost]],Details[[#This Row],[Quantity]])</f>
        <v>28038</v>
      </c>
      <c r="H1301" t="s">
        <v>13</v>
      </c>
      <c r="I1301" t="s">
        <v>20</v>
      </c>
      <c r="J1301" t="s">
        <v>10</v>
      </c>
      <c r="K1301" t="s">
        <v>605</v>
      </c>
      <c r="L1301" t="s">
        <v>541</v>
      </c>
    </row>
    <row r="1302" spans="1:12" x14ac:dyDescent="0.3">
      <c r="A1302" t="s">
        <v>491</v>
      </c>
      <c r="B1302">
        <v>319</v>
      </c>
      <c r="C1302">
        <v>102</v>
      </c>
      <c r="D1302">
        <v>1914</v>
      </c>
      <c r="E1302">
        <f>SUM(Details[[#This Row],[Actual_Cost]],Details[[#This Row],[Profit]])</f>
        <v>2016</v>
      </c>
      <c r="F1302">
        <v>6</v>
      </c>
      <c r="G1302">
        <f>PRODUCT(Details[[#This Row],[Selling_Cost]],Details[[#This Row],[Quantity]])</f>
        <v>12096</v>
      </c>
      <c r="H1302" t="s">
        <v>13</v>
      </c>
      <c r="I1302" t="s">
        <v>55</v>
      </c>
      <c r="J1302" t="s">
        <v>27</v>
      </c>
      <c r="K1302" t="s">
        <v>578</v>
      </c>
      <c r="L1302" t="s">
        <v>544</v>
      </c>
    </row>
    <row r="1303" spans="1:12" x14ac:dyDescent="0.3">
      <c r="A1303" t="s">
        <v>256</v>
      </c>
      <c r="B1303">
        <v>1351</v>
      </c>
      <c r="C1303">
        <v>111</v>
      </c>
      <c r="D1303">
        <v>8106</v>
      </c>
      <c r="E1303">
        <f>SUM(Details[[#This Row],[Actual_Cost]],Details[[#This Row],[Profit]])</f>
        <v>8217</v>
      </c>
      <c r="F1303">
        <v>6</v>
      </c>
      <c r="G1303">
        <f>PRODUCT(Details[[#This Row],[Selling_Cost]],Details[[#This Row],[Quantity]])</f>
        <v>49302</v>
      </c>
      <c r="H1303" t="s">
        <v>13</v>
      </c>
      <c r="I1303" t="s">
        <v>34</v>
      </c>
      <c r="J1303" t="s">
        <v>10</v>
      </c>
      <c r="K1303" t="s">
        <v>539</v>
      </c>
      <c r="L1303" t="s">
        <v>567</v>
      </c>
    </row>
    <row r="1304" spans="1:12" x14ac:dyDescent="0.3">
      <c r="A1304" t="s">
        <v>129</v>
      </c>
      <c r="B1304">
        <v>744</v>
      </c>
      <c r="C1304">
        <v>119</v>
      </c>
      <c r="D1304">
        <v>4464</v>
      </c>
      <c r="E1304">
        <f>SUM(Details[[#This Row],[Actual_Cost]],Details[[#This Row],[Profit]])</f>
        <v>4583</v>
      </c>
      <c r="F1304">
        <v>6</v>
      </c>
      <c r="G1304">
        <f>PRODUCT(Details[[#This Row],[Selling_Cost]],Details[[#This Row],[Quantity]])</f>
        <v>27498</v>
      </c>
      <c r="H1304" t="s">
        <v>13</v>
      </c>
      <c r="I1304" t="s">
        <v>20</v>
      </c>
      <c r="J1304" t="s">
        <v>10</v>
      </c>
      <c r="K1304" t="s">
        <v>561</v>
      </c>
      <c r="L1304" t="s">
        <v>546</v>
      </c>
    </row>
    <row r="1305" spans="1:12" x14ac:dyDescent="0.3">
      <c r="A1305" t="s">
        <v>99</v>
      </c>
      <c r="B1305">
        <v>286</v>
      </c>
      <c r="C1305">
        <v>140</v>
      </c>
      <c r="D1305">
        <v>1716</v>
      </c>
      <c r="E1305">
        <f>SUM(Details[[#This Row],[Actual_Cost]],Details[[#This Row],[Profit]])</f>
        <v>1856</v>
      </c>
      <c r="F1305">
        <v>6</v>
      </c>
      <c r="G1305">
        <f>PRODUCT(Details[[#This Row],[Selling_Cost]],Details[[#This Row],[Quantity]])</f>
        <v>11136</v>
      </c>
      <c r="H1305" t="s">
        <v>8</v>
      </c>
      <c r="I1305" t="s">
        <v>61</v>
      </c>
      <c r="J1305" t="s">
        <v>42</v>
      </c>
      <c r="K1305" t="s">
        <v>543</v>
      </c>
      <c r="L1305" t="s">
        <v>544</v>
      </c>
    </row>
    <row r="1306" spans="1:12" x14ac:dyDescent="0.3">
      <c r="A1306" t="s">
        <v>436</v>
      </c>
      <c r="B1306">
        <v>1120</v>
      </c>
      <c r="C1306">
        <v>199</v>
      </c>
      <c r="D1306">
        <v>6720</v>
      </c>
      <c r="E1306">
        <f>SUM(Details[[#This Row],[Actual_Cost]],Details[[#This Row],[Profit]])</f>
        <v>6919</v>
      </c>
      <c r="F1306">
        <v>6</v>
      </c>
      <c r="G1306">
        <f>PRODUCT(Details[[#This Row],[Selling_Cost]],Details[[#This Row],[Quantity]])</f>
        <v>41514</v>
      </c>
      <c r="H1306" t="s">
        <v>8</v>
      </c>
      <c r="I1306" t="s">
        <v>9</v>
      </c>
      <c r="J1306" t="s">
        <v>125</v>
      </c>
      <c r="K1306" t="s">
        <v>552</v>
      </c>
      <c r="L1306" t="s">
        <v>541</v>
      </c>
    </row>
    <row r="1307" spans="1:12" x14ac:dyDescent="0.3">
      <c r="A1307" t="s">
        <v>299</v>
      </c>
      <c r="B1307">
        <v>1120</v>
      </c>
      <c r="C1307">
        <v>199</v>
      </c>
      <c r="D1307">
        <v>6720</v>
      </c>
      <c r="E1307">
        <f>SUM(Details[[#This Row],[Actual_Cost]],Details[[#This Row],[Profit]])</f>
        <v>6919</v>
      </c>
      <c r="F1307">
        <v>6</v>
      </c>
      <c r="G1307">
        <f>PRODUCT(Details[[#This Row],[Selling_Cost]],Details[[#This Row],[Quantity]])</f>
        <v>41514</v>
      </c>
      <c r="H1307" t="s">
        <v>8</v>
      </c>
      <c r="I1307" t="s">
        <v>9</v>
      </c>
      <c r="J1307" t="s">
        <v>125</v>
      </c>
      <c r="K1307" t="s">
        <v>587</v>
      </c>
      <c r="L1307" t="s">
        <v>563</v>
      </c>
    </row>
    <row r="1308" spans="1:12" x14ac:dyDescent="0.3">
      <c r="A1308" t="s">
        <v>368</v>
      </c>
      <c r="B1308">
        <v>734</v>
      </c>
      <c r="C1308">
        <v>213</v>
      </c>
      <c r="D1308">
        <v>4404</v>
      </c>
      <c r="E1308">
        <f>SUM(Details[[#This Row],[Actual_Cost]],Details[[#This Row],[Profit]])</f>
        <v>4617</v>
      </c>
      <c r="F1308">
        <v>6</v>
      </c>
      <c r="G1308">
        <f>PRODUCT(Details[[#This Row],[Selling_Cost]],Details[[#This Row],[Quantity]])</f>
        <v>27702</v>
      </c>
      <c r="H1308" t="s">
        <v>13</v>
      </c>
      <c r="I1308" t="s">
        <v>34</v>
      </c>
      <c r="J1308" t="s">
        <v>27</v>
      </c>
      <c r="K1308" t="s">
        <v>552</v>
      </c>
      <c r="L1308" t="s">
        <v>550</v>
      </c>
    </row>
    <row r="1309" spans="1:12" x14ac:dyDescent="0.3">
      <c r="A1309" t="s">
        <v>492</v>
      </c>
      <c r="B1309">
        <v>510</v>
      </c>
      <c r="C1309">
        <v>234</v>
      </c>
      <c r="D1309">
        <v>3060</v>
      </c>
      <c r="E1309">
        <f>SUM(Details[[#This Row],[Actual_Cost]],Details[[#This Row],[Profit]])</f>
        <v>3294</v>
      </c>
      <c r="F1309">
        <v>6</v>
      </c>
      <c r="G1309">
        <f>PRODUCT(Details[[#This Row],[Selling_Cost]],Details[[#This Row],[Quantity]])</f>
        <v>19764</v>
      </c>
      <c r="H1309" t="s">
        <v>13</v>
      </c>
      <c r="I1309" t="s">
        <v>34</v>
      </c>
      <c r="J1309" t="s">
        <v>125</v>
      </c>
      <c r="K1309" t="s">
        <v>607</v>
      </c>
      <c r="L1309" t="s">
        <v>546</v>
      </c>
    </row>
    <row r="1310" spans="1:12" x14ac:dyDescent="0.3">
      <c r="A1310" t="s">
        <v>493</v>
      </c>
      <c r="B1310">
        <v>373</v>
      </c>
      <c r="C1310">
        <v>254</v>
      </c>
      <c r="D1310">
        <v>2238</v>
      </c>
      <c r="E1310">
        <f>SUM(Details[[#This Row],[Actual_Cost]],Details[[#This Row],[Profit]])</f>
        <v>2492</v>
      </c>
      <c r="F1310">
        <v>6</v>
      </c>
      <c r="G1310">
        <f>PRODUCT(Details[[#This Row],[Selling_Cost]],Details[[#This Row],[Quantity]])</f>
        <v>14952</v>
      </c>
      <c r="H1310" t="s">
        <v>13</v>
      </c>
      <c r="I1310" t="s">
        <v>20</v>
      </c>
      <c r="J1310" t="s">
        <v>18</v>
      </c>
      <c r="K1310" t="s">
        <v>561</v>
      </c>
      <c r="L1310" t="s">
        <v>554</v>
      </c>
    </row>
    <row r="1311" spans="1:12" x14ac:dyDescent="0.3">
      <c r="A1311" t="s">
        <v>494</v>
      </c>
      <c r="B1311">
        <v>693</v>
      </c>
      <c r="C1311">
        <v>254</v>
      </c>
      <c r="D1311">
        <v>4158</v>
      </c>
      <c r="E1311">
        <f>SUM(Details[[#This Row],[Actual_Cost]],Details[[#This Row],[Profit]])</f>
        <v>4412</v>
      </c>
      <c r="F1311">
        <v>6</v>
      </c>
      <c r="G1311">
        <f>PRODUCT(Details[[#This Row],[Selling_Cost]],Details[[#This Row],[Quantity]])</f>
        <v>26472</v>
      </c>
      <c r="H1311" t="s">
        <v>8</v>
      </c>
      <c r="I1311" t="s">
        <v>9</v>
      </c>
      <c r="J1311" t="s">
        <v>10</v>
      </c>
      <c r="K1311" t="s">
        <v>711</v>
      </c>
      <c r="L1311" t="s">
        <v>563</v>
      </c>
    </row>
    <row r="1312" spans="1:12" x14ac:dyDescent="0.3">
      <c r="A1312" t="s">
        <v>399</v>
      </c>
      <c r="B1312">
        <v>719</v>
      </c>
      <c r="C1312">
        <v>303</v>
      </c>
      <c r="D1312">
        <v>4314</v>
      </c>
      <c r="E1312">
        <f>SUM(Details[[#This Row],[Actual_Cost]],Details[[#This Row],[Profit]])</f>
        <v>4617</v>
      </c>
      <c r="F1312">
        <v>6</v>
      </c>
      <c r="G1312">
        <f>PRODUCT(Details[[#This Row],[Selling_Cost]],Details[[#This Row],[Quantity]])</f>
        <v>27702</v>
      </c>
      <c r="H1312" t="s">
        <v>16</v>
      </c>
      <c r="I1312" t="s">
        <v>23</v>
      </c>
      <c r="J1312" t="s">
        <v>10</v>
      </c>
      <c r="K1312" t="s">
        <v>548</v>
      </c>
      <c r="L1312" t="s">
        <v>567</v>
      </c>
    </row>
    <row r="1313" spans="1:12" x14ac:dyDescent="0.3">
      <c r="A1313" t="s">
        <v>12</v>
      </c>
      <c r="B1313">
        <v>632</v>
      </c>
      <c r="C1313">
        <v>316</v>
      </c>
      <c r="D1313">
        <v>3792</v>
      </c>
      <c r="E1313">
        <f>SUM(Details[[#This Row],[Actual_Cost]],Details[[#This Row],[Profit]])</f>
        <v>4108</v>
      </c>
      <c r="F1313">
        <v>6</v>
      </c>
      <c r="G1313">
        <f>PRODUCT(Details[[#This Row],[Selling_Cost]],Details[[#This Row],[Quantity]])</f>
        <v>24648</v>
      </c>
      <c r="H1313" t="s">
        <v>8</v>
      </c>
      <c r="I1313" t="s">
        <v>9</v>
      </c>
      <c r="J1313" t="s">
        <v>10</v>
      </c>
      <c r="K1313" t="s">
        <v>552</v>
      </c>
      <c r="L1313" t="s">
        <v>585</v>
      </c>
    </row>
    <row r="1314" spans="1:12" x14ac:dyDescent="0.3">
      <c r="A1314" t="s">
        <v>383</v>
      </c>
      <c r="B1314">
        <v>1547</v>
      </c>
      <c r="C1314">
        <v>340</v>
      </c>
      <c r="D1314">
        <v>9282</v>
      </c>
      <c r="E1314">
        <f>SUM(Details[[#This Row],[Actual_Cost]],Details[[#This Row],[Profit]])</f>
        <v>9622</v>
      </c>
      <c r="F1314">
        <v>6</v>
      </c>
      <c r="G1314">
        <f>PRODUCT(Details[[#This Row],[Selling_Cost]],Details[[#This Row],[Quantity]])</f>
        <v>57732</v>
      </c>
      <c r="H1314" t="s">
        <v>13</v>
      </c>
      <c r="I1314" t="s">
        <v>55</v>
      </c>
      <c r="J1314" t="s">
        <v>125</v>
      </c>
      <c r="K1314" t="s">
        <v>569</v>
      </c>
      <c r="L1314" t="s">
        <v>546</v>
      </c>
    </row>
    <row r="1315" spans="1:12" x14ac:dyDescent="0.3">
      <c r="A1315" t="s">
        <v>360</v>
      </c>
      <c r="B1315">
        <v>856</v>
      </c>
      <c r="C1315">
        <v>385</v>
      </c>
      <c r="D1315">
        <v>5136</v>
      </c>
      <c r="E1315">
        <f>SUM(Details[[#This Row],[Actual_Cost]],Details[[#This Row],[Profit]])</f>
        <v>5521</v>
      </c>
      <c r="F1315">
        <v>6</v>
      </c>
      <c r="G1315">
        <f>PRODUCT(Details[[#This Row],[Selling_Cost]],Details[[#This Row],[Quantity]])</f>
        <v>33126</v>
      </c>
      <c r="H1315" t="s">
        <v>13</v>
      </c>
      <c r="I1315" t="s">
        <v>20</v>
      </c>
      <c r="J1315" t="s">
        <v>10</v>
      </c>
      <c r="K1315" t="s">
        <v>626</v>
      </c>
      <c r="L1315" t="s">
        <v>565</v>
      </c>
    </row>
    <row r="1316" spans="1:12" x14ac:dyDescent="0.3">
      <c r="A1316" t="s">
        <v>156</v>
      </c>
      <c r="B1316">
        <v>412</v>
      </c>
      <c r="C1316">
        <v>412</v>
      </c>
      <c r="D1316">
        <v>2472</v>
      </c>
      <c r="E1316">
        <f>SUM(Details[[#This Row],[Actual_Cost]],Details[[#This Row],[Profit]])</f>
        <v>2884</v>
      </c>
      <c r="F1316">
        <v>6</v>
      </c>
      <c r="G1316">
        <f>PRODUCT(Details[[#This Row],[Selling_Cost]],Details[[#This Row],[Quantity]])</f>
        <v>17304</v>
      </c>
      <c r="H1316" t="s">
        <v>8</v>
      </c>
      <c r="I1316" t="s">
        <v>9</v>
      </c>
      <c r="J1316" t="s">
        <v>10</v>
      </c>
      <c r="K1316" t="s">
        <v>548</v>
      </c>
      <c r="L1316" t="s">
        <v>546</v>
      </c>
    </row>
    <row r="1317" spans="1:12" x14ac:dyDescent="0.3">
      <c r="A1317" t="s">
        <v>205</v>
      </c>
      <c r="B1317">
        <v>781</v>
      </c>
      <c r="C1317">
        <v>594</v>
      </c>
      <c r="D1317">
        <v>4686</v>
      </c>
      <c r="E1317">
        <f>SUM(Details[[#This Row],[Actual_Cost]],Details[[#This Row],[Profit]])</f>
        <v>5280</v>
      </c>
      <c r="F1317">
        <v>6</v>
      </c>
      <c r="G1317">
        <f>PRODUCT(Details[[#This Row],[Selling_Cost]],Details[[#This Row],[Quantity]])</f>
        <v>31680</v>
      </c>
      <c r="H1317" t="s">
        <v>13</v>
      </c>
      <c r="I1317" t="s">
        <v>20</v>
      </c>
      <c r="J1317" t="s">
        <v>42</v>
      </c>
      <c r="K1317" t="s">
        <v>578</v>
      </c>
      <c r="L1317" t="s">
        <v>565</v>
      </c>
    </row>
    <row r="1318" spans="1:12" x14ac:dyDescent="0.3">
      <c r="A1318" t="s">
        <v>495</v>
      </c>
      <c r="B1318">
        <v>934</v>
      </c>
      <c r="C1318">
        <v>-916</v>
      </c>
      <c r="D1318">
        <v>6538</v>
      </c>
      <c r="E1318">
        <f>SUM(Details[[#This Row],[Actual_Cost]],Details[[#This Row],[Profit]])</f>
        <v>5622</v>
      </c>
      <c r="F1318">
        <v>7</v>
      </c>
      <c r="G1318">
        <f>PRODUCT(Details[[#This Row],[Selling_Cost]],Details[[#This Row],[Quantity]])</f>
        <v>39354</v>
      </c>
      <c r="H1318" t="s">
        <v>13</v>
      </c>
      <c r="I1318" t="s">
        <v>34</v>
      </c>
      <c r="J1318" t="s">
        <v>10</v>
      </c>
      <c r="K1318" t="s">
        <v>587</v>
      </c>
      <c r="L1318" t="s">
        <v>624</v>
      </c>
    </row>
    <row r="1319" spans="1:12" x14ac:dyDescent="0.3">
      <c r="A1319" t="s">
        <v>177</v>
      </c>
      <c r="B1319">
        <v>584</v>
      </c>
      <c r="C1319">
        <v>-444</v>
      </c>
      <c r="D1319">
        <v>4088</v>
      </c>
      <c r="E1319">
        <f>SUM(Details[[#This Row],[Actual_Cost]],Details[[#This Row],[Profit]])</f>
        <v>3644</v>
      </c>
      <c r="F1319">
        <v>7</v>
      </c>
      <c r="G1319">
        <f>PRODUCT(Details[[#This Row],[Selling_Cost]],Details[[#This Row],[Quantity]])</f>
        <v>25508</v>
      </c>
      <c r="H1319" t="s">
        <v>13</v>
      </c>
      <c r="I1319" t="s">
        <v>20</v>
      </c>
      <c r="J1319" t="s">
        <v>18</v>
      </c>
      <c r="K1319" t="s">
        <v>569</v>
      </c>
      <c r="L1319" t="s">
        <v>583</v>
      </c>
    </row>
    <row r="1320" spans="1:12" x14ac:dyDescent="0.3">
      <c r="A1320" t="s">
        <v>59</v>
      </c>
      <c r="B1320">
        <v>312</v>
      </c>
      <c r="C1320">
        <v>-312</v>
      </c>
      <c r="D1320">
        <v>2184</v>
      </c>
      <c r="E1320">
        <f>SUM(Details[[#This Row],[Actual_Cost]],Details[[#This Row],[Profit]])</f>
        <v>1872</v>
      </c>
      <c r="F1320">
        <v>7</v>
      </c>
      <c r="G1320">
        <f>PRODUCT(Details[[#This Row],[Selling_Cost]],Details[[#This Row],[Quantity]])</f>
        <v>13104</v>
      </c>
      <c r="H1320" t="s">
        <v>16</v>
      </c>
      <c r="I1320" t="s">
        <v>23</v>
      </c>
      <c r="J1320" t="s">
        <v>10</v>
      </c>
      <c r="K1320" t="s">
        <v>552</v>
      </c>
      <c r="L1320" t="s">
        <v>624</v>
      </c>
    </row>
    <row r="1321" spans="1:12" x14ac:dyDescent="0.3">
      <c r="A1321" t="s">
        <v>345</v>
      </c>
      <c r="B1321">
        <v>749</v>
      </c>
      <c r="C1321">
        <v>-307</v>
      </c>
      <c r="D1321">
        <v>5243</v>
      </c>
      <c r="E1321">
        <f>SUM(Details[[#This Row],[Actual_Cost]],Details[[#This Row],[Profit]])</f>
        <v>4936</v>
      </c>
      <c r="F1321">
        <v>7</v>
      </c>
      <c r="G1321">
        <f>PRODUCT(Details[[#This Row],[Selling_Cost]],Details[[#This Row],[Quantity]])</f>
        <v>34552</v>
      </c>
      <c r="H1321" t="s">
        <v>16</v>
      </c>
      <c r="I1321" t="s">
        <v>32</v>
      </c>
      <c r="J1321" t="s">
        <v>10</v>
      </c>
      <c r="K1321" t="s">
        <v>607</v>
      </c>
      <c r="L1321" t="s">
        <v>546</v>
      </c>
    </row>
    <row r="1322" spans="1:12" x14ac:dyDescent="0.3">
      <c r="A1322" t="s">
        <v>98</v>
      </c>
      <c r="B1322">
        <v>977</v>
      </c>
      <c r="C1322">
        <v>-244</v>
      </c>
      <c r="D1322">
        <v>6839</v>
      </c>
      <c r="E1322">
        <f>SUM(Details[[#This Row],[Actual_Cost]],Details[[#This Row],[Profit]])</f>
        <v>6595</v>
      </c>
      <c r="F1322">
        <v>7</v>
      </c>
      <c r="G1322">
        <f>PRODUCT(Details[[#This Row],[Selling_Cost]],Details[[#This Row],[Quantity]])</f>
        <v>46165</v>
      </c>
      <c r="H1322" t="s">
        <v>13</v>
      </c>
      <c r="I1322" t="s">
        <v>14</v>
      </c>
      <c r="J1322" t="s">
        <v>10</v>
      </c>
      <c r="K1322" t="s">
        <v>607</v>
      </c>
      <c r="L1322" t="s">
        <v>550</v>
      </c>
    </row>
    <row r="1323" spans="1:12" x14ac:dyDescent="0.3">
      <c r="A1323" t="s">
        <v>350</v>
      </c>
      <c r="B1323">
        <v>556</v>
      </c>
      <c r="C1323">
        <v>-209</v>
      </c>
      <c r="D1323">
        <v>3892</v>
      </c>
      <c r="E1323">
        <f>SUM(Details[[#This Row],[Actual_Cost]],Details[[#This Row],[Profit]])</f>
        <v>3683</v>
      </c>
      <c r="F1323">
        <v>7</v>
      </c>
      <c r="G1323">
        <f>PRODUCT(Details[[#This Row],[Selling_Cost]],Details[[#This Row],[Quantity]])</f>
        <v>25781</v>
      </c>
      <c r="H1323" t="s">
        <v>8</v>
      </c>
      <c r="I1323" t="s">
        <v>9</v>
      </c>
      <c r="J1323" t="s">
        <v>10</v>
      </c>
      <c r="K1323" t="s">
        <v>641</v>
      </c>
      <c r="L1323" t="s">
        <v>583</v>
      </c>
    </row>
    <row r="1324" spans="1:12" x14ac:dyDescent="0.3">
      <c r="A1324" t="s">
        <v>318</v>
      </c>
      <c r="B1324">
        <v>342</v>
      </c>
      <c r="C1324">
        <v>-154</v>
      </c>
      <c r="D1324">
        <v>2394</v>
      </c>
      <c r="E1324">
        <f>SUM(Details[[#This Row],[Actual_Cost]],Details[[#This Row],[Profit]])</f>
        <v>2240</v>
      </c>
      <c r="F1324">
        <v>7</v>
      </c>
      <c r="G1324">
        <f>PRODUCT(Details[[#This Row],[Selling_Cost]],Details[[#This Row],[Quantity]])</f>
        <v>15680</v>
      </c>
      <c r="H1324" t="s">
        <v>16</v>
      </c>
      <c r="I1324" t="s">
        <v>32</v>
      </c>
      <c r="J1324" t="s">
        <v>42</v>
      </c>
      <c r="K1324" t="s">
        <v>548</v>
      </c>
      <c r="L1324" t="s">
        <v>567</v>
      </c>
    </row>
    <row r="1325" spans="1:12" x14ac:dyDescent="0.3">
      <c r="A1325" t="s">
        <v>24</v>
      </c>
      <c r="B1325">
        <v>539</v>
      </c>
      <c r="C1325">
        <v>-146</v>
      </c>
      <c r="D1325">
        <v>3773</v>
      </c>
      <c r="E1325">
        <f>SUM(Details[[#This Row],[Actual_Cost]],Details[[#This Row],[Profit]])</f>
        <v>3627</v>
      </c>
      <c r="F1325">
        <v>7</v>
      </c>
      <c r="G1325">
        <f>PRODUCT(Details[[#This Row],[Selling_Cost]],Details[[#This Row],[Quantity]])</f>
        <v>25389</v>
      </c>
      <c r="H1325" t="s">
        <v>16</v>
      </c>
      <c r="I1325" t="s">
        <v>32</v>
      </c>
      <c r="J1325" t="s">
        <v>42</v>
      </c>
      <c r="K1325" t="s">
        <v>552</v>
      </c>
      <c r="L1325" t="s">
        <v>554</v>
      </c>
    </row>
    <row r="1326" spans="1:12" x14ac:dyDescent="0.3">
      <c r="A1326" t="s">
        <v>375</v>
      </c>
      <c r="B1326">
        <v>355</v>
      </c>
      <c r="C1326">
        <v>-114</v>
      </c>
      <c r="D1326">
        <v>2485</v>
      </c>
      <c r="E1326">
        <f>SUM(Details[[#This Row],[Actual_Cost]],Details[[#This Row],[Profit]])</f>
        <v>2371</v>
      </c>
      <c r="F1326">
        <v>7</v>
      </c>
      <c r="G1326">
        <f>PRODUCT(Details[[#This Row],[Selling_Cost]],Details[[#This Row],[Quantity]])</f>
        <v>16597</v>
      </c>
      <c r="H1326" t="s">
        <v>8</v>
      </c>
      <c r="I1326" t="s">
        <v>29</v>
      </c>
      <c r="J1326" t="s">
        <v>27</v>
      </c>
      <c r="K1326" t="s">
        <v>539</v>
      </c>
      <c r="L1326" t="s">
        <v>550</v>
      </c>
    </row>
    <row r="1327" spans="1:12" x14ac:dyDescent="0.3">
      <c r="A1327" t="s">
        <v>45</v>
      </c>
      <c r="B1327">
        <v>616</v>
      </c>
      <c r="C1327">
        <v>-69</v>
      </c>
      <c r="D1327">
        <v>4312</v>
      </c>
      <c r="E1327">
        <f>SUM(Details[[#This Row],[Actual_Cost]],Details[[#This Row],[Profit]])</f>
        <v>4243</v>
      </c>
      <c r="F1327">
        <v>7</v>
      </c>
      <c r="G1327">
        <f>PRODUCT(Details[[#This Row],[Selling_Cost]],Details[[#This Row],[Quantity]])</f>
        <v>29701</v>
      </c>
      <c r="H1327" t="s">
        <v>16</v>
      </c>
      <c r="I1327" t="s">
        <v>32</v>
      </c>
      <c r="J1327" t="s">
        <v>42</v>
      </c>
      <c r="K1327" t="s">
        <v>548</v>
      </c>
      <c r="L1327" t="s">
        <v>614</v>
      </c>
    </row>
    <row r="1328" spans="1:12" x14ac:dyDescent="0.3">
      <c r="A1328" t="s">
        <v>53</v>
      </c>
      <c r="B1328">
        <v>78</v>
      </c>
      <c r="C1328">
        <v>-64</v>
      </c>
      <c r="D1328">
        <v>546</v>
      </c>
      <c r="E1328">
        <f>SUM(Details[[#This Row],[Actual_Cost]],Details[[#This Row],[Profit]])</f>
        <v>482</v>
      </c>
      <c r="F1328">
        <v>7</v>
      </c>
      <c r="G1328">
        <f>PRODUCT(Details[[#This Row],[Selling_Cost]],Details[[#This Row],[Quantity]])</f>
        <v>3374</v>
      </c>
      <c r="H1328" t="s">
        <v>8</v>
      </c>
      <c r="I1328" t="s">
        <v>29</v>
      </c>
      <c r="J1328" t="s">
        <v>125</v>
      </c>
      <c r="K1328" t="s">
        <v>548</v>
      </c>
      <c r="L1328" t="s">
        <v>583</v>
      </c>
    </row>
    <row r="1329" spans="1:12" x14ac:dyDescent="0.3">
      <c r="A1329" t="s">
        <v>196</v>
      </c>
      <c r="B1329">
        <v>81</v>
      </c>
      <c r="C1329">
        <v>-51</v>
      </c>
      <c r="D1329">
        <v>567</v>
      </c>
      <c r="E1329">
        <f>SUM(Details[[#This Row],[Actual_Cost]],Details[[#This Row],[Profit]])</f>
        <v>516</v>
      </c>
      <c r="F1329">
        <v>7</v>
      </c>
      <c r="G1329">
        <f>PRODUCT(Details[[#This Row],[Selling_Cost]],Details[[#This Row],[Quantity]])</f>
        <v>3612</v>
      </c>
      <c r="H1329" t="s">
        <v>8</v>
      </c>
      <c r="I1329" t="s">
        <v>29</v>
      </c>
      <c r="J1329" t="s">
        <v>125</v>
      </c>
      <c r="K1329" t="s">
        <v>552</v>
      </c>
      <c r="L1329" t="s">
        <v>614</v>
      </c>
    </row>
    <row r="1330" spans="1:12" x14ac:dyDescent="0.3">
      <c r="A1330" t="s">
        <v>131</v>
      </c>
      <c r="B1330">
        <v>427</v>
      </c>
      <c r="C1330">
        <v>-50</v>
      </c>
      <c r="D1330">
        <v>2989</v>
      </c>
      <c r="E1330">
        <f>SUM(Details[[#This Row],[Actual_Cost]],Details[[#This Row],[Profit]])</f>
        <v>2939</v>
      </c>
      <c r="F1330">
        <v>7</v>
      </c>
      <c r="G1330">
        <f>PRODUCT(Details[[#This Row],[Selling_Cost]],Details[[#This Row],[Quantity]])</f>
        <v>20573</v>
      </c>
      <c r="H1330" t="s">
        <v>13</v>
      </c>
      <c r="I1330" t="s">
        <v>14</v>
      </c>
      <c r="J1330" t="s">
        <v>10</v>
      </c>
      <c r="K1330" t="s">
        <v>596</v>
      </c>
      <c r="L1330" t="s">
        <v>624</v>
      </c>
    </row>
    <row r="1331" spans="1:12" x14ac:dyDescent="0.3">
      <c r="A1331" t="s">
        <v>424</v>
      </c>
      <c r="B1331">
        <v>59</v>
      </c>
      <c r="C1331">
        <v>-46</v>
      </c>
      <c r="D1331">
        <v>413</v>
      </c>
      <c r="E1331">
        <f>SUM(Details[[#This Row],[Actual_Cost]],Details[[#This Row],[Profit]])</f>
        <v>367</v>
      </c>
      <c r="F1331">
        <v>7</v>
      </c>
      <c r="G1331">
        <f>PRODUCT(Details[[#This Row],[Selling_Cost]],Details[[#This Row],[Quantity]])</f>
        <v>2569</v>
      </c>
      <c r="H1331" t="s">
        <v>8</v>
      </c>
      <c r="I1331" t="s">
        <v>46</v>
      </c>
      <c r="J1331" t="s">
        <v>18</v>
      </c>
      <c r="K1331" t="s">
        <v>552</v>
      </c>
      <c r="L1331" t="s">
        <v>583</v>
      </c>
    </row>
    <row r="1332" spans="1:12" x14ac:dyDescent="0.3">
      <c r="A1332" t="s">
        <v>180</v>
      </c>
      <c r="B1332">
        <v>72</v>
      </c>
      <c r="C1332">
        <v>-46</v>
      </c>
      <c r="D1332">
        <v>504</v>
      </c>
      <c r="E1332">
        <f>SUM(Details[[#This Row],[Actual_Cost]],Details[[#This Row],[Profit]])</f>
        <v>458</v>
      </c>
      <c r="F1332">
        <v>7</v>
      </c>
      <c r="G1332">
        <f>PRODUCT(Details[[#This Row],[Selling_Cost]],Details[[#This Row],[Quantity]])</f>
        <v>3206</v>
      </c>
      <c r="H1332" t="s">
        <v>8</v>
      </c>
      <c r="I1332" t="s">
        <v>44</v>
      </c>
      <c r="J1332" t="s">
        <v>42</v>
      </c>
      <c r="K1332" t="s">
        <v>578</v>
      </c>
      <c r="L1332" t="s">
        <v>554</v>
      </c>
    </row>
    <row r="1333" spans="1:12" x14ac:dyDescent="0.3">
      <c r="A1333" t="s">
        <v>193</v>
      </c>
      <c r="B1333">
        <v>43</v>
      </c>
      <c r="C1333">
        <v>-43</v>
      </c>
      <c r="D1333">
        <v>301</v>
      </c>
      <c r="E1333">
        <f>SUM(Details[[#This Row],[Actual_Cost]],Details[[#This Row],[Profit]])</f>
        <v>258</v>
      </c>
      <c r="F1333">
        <v>7</v>
      </c>
      <c r="G1333">
        <f>PRODUCT(Details[[#This Row],[Selling_Cost]],Details[[#This Row],[Quantity]])</f>
        <v>1806</v>
      </c>
      <c r="H1333" t="s">
        <v>8</v>
      </c>
      <c r="I1333" t="s">
        <v>29</v>
      </c>
      <c r="J1333" t="s">
        <v>42</v>
      </c>
      <c r="K1333" t="s">
        <v>548</v>
      </c>
      <c r="L1333" t="s">
        <v>614</v>
      </c>
    </row>
    <row r="1334" spans="1:12" x14ac:dyDescent="0.3">
      <c r="A1334" t="s">
        <v>117</v>
      </c>
      <c r="B1334">
        <v>119</v>
      </c>
      <c r="C1334">
        <v>-43</v>
      </c>
      <c r="D1334">
        <v>833</v>
      </c>
      <c r="E1334">
        <f>SUM(Details[[#This Row],[Actual_Cost]],Details[[#This Row],[Profit]])</f>
        <v>790</v>
      </c>
      <c r="F1334">
        <v>7</v>
      </c>
      <c r="G1334">
        <f>PRODUCT(Details[[#This Row],[Selling_Cost]],Details[[#This Row],[Quantity]])</f>
        <v>5530</v>
      </c>
      <c r="H1334" t="s">
        <v>8</v>
      </c>
      <c r="I1334" t="s">
        <v>44</v>
      </c>
      <c r="J1334" t="s">
        <v>27</v>
      </c>
      <c r="K1334" t="s">
        <v>569</v>
      </c>
      <c r="L1334" t="s">
        <v>550</v>
      </c>
    </row>
    <row r="1335" spans="1:12" x14ac:dyDescent="0.3">
      <c r="A1335" t="s">
        <v>102</v>
      </c>
      <c r="B1335">
        <v>3151</v>
      </c>
      <c r="C1335">
        <v>-35</v>
      </c>
      <c r="D1335">
        <v>22057</v>
      </c>
      <c r="E1335">
        <f>SUM(Details[[#This Row],[Actual_Cost]],Details[[#This Row],[Profit]])</f>
        <v>22022</v>
      </c>
      <c r="F1335">
        <v>7</v>
      </c>
      <c r="G1335">
        <f>PRODUCT(Details[[#This Row],[Selling_Cost]],Details[[#This Row],[Quantity]])</f>
        <v>154154</v>
      </c>
      <c r="H1335" t="s">
        <v>8</v>
      </c>
      <c r="I1335" t="s">
        <v>41</v>
      </c>
      <c r="J1335" t="s">
        <v>125</v>
      </c>
      <c r="K1335" t="s">
        <v>552</v>
      </c>
      <c r="L1335" t="s">
        <v>554</v>
      </c>
    </row>
    <row r="1336" spans="1:12" x14ac:dyDescent="0.3">
      <c r="A1336" t="s">
        <v>496</v>
      </c>
      <c r="B1336">
        <v>335</v>
      </c>
      <c r="C1336">
        <v>-22</v>
      </c>
      <c r="D1336">
        <v>2345</v>
      </c>
      <c r="E1336">
        <f>SUM(Details[[#This Row],[Actual_Cost]],Details[[#This Row],[Profit]])</f>
        <v>2323</v>
      </c>
      <c r="F1336">
        <v>7</v>
      </c>
      <c r="G1336">
        <f>PRODUCT(Details[[#This Row],[Selling_Cost]],Details[[#This Row],[Quantity]])</f>
        <v>16261</v>
      </c>
      <c r="H1336" t="s">
        <v>16</v>
      </c>
      <c r="I1336" t="s">
        <v>23</v>
      </c>
      <c r="J1336" t="s">
        <v>18</v>
      </c>
      <c r="K1336" t="s">
        <v>548</v>
      </c>
      <c r="L1336" t="s">
        <v>583</v>
      </c>
    </row>
    <row r="1337" spans="1:12" x14ac:dyDescent="0.3">
      <c r="A1337" t="s">
        <v>200</v>
      </c>
      <c r="B1337">
        <v>24</v>
      </c>
      <c r="C1337">
        <v>-21</v>
      </c>
      <c r="D1337">
        <v>168</v>
      </c>
      <c r="E1337">
        <f>SUM(Details[[#This Row],[Actual_Cost]],Details[[#This Row],[Profit]])</f>
        <v>147</v>
      </c>
      <c r="F1337">
        <v>7</v>
      </c>
      <c r="G1337">
        <f>PRODUCT(Details[[#This Row],[Selling_Cost]],Details[[#This Row],[Quantity]])</f>
        <v>1029</v>
      </c>
      <c r="H1337" t="s">
        <v>8</v>
      </c>
      <c r="I1337" t="s">
        <v>58</v>
      </c>
      <c r="J1337" t="s">
        <v>10</v>
      </c>
      <c r="K1337" t="s">
        <v>661</v>
      </c>
      <c r="L1337" t="s">
        <v>624</v>
      </c>
    </row>
    <row r="1338" spans="1:12" x14ac:dyDescent="0.3">
      <c r="A1338" t="s">
        <v>173</v>
      </c>
      <c r="B1338">
        <v>29</v>
      </c>
      <c r="C1338">
        <v>-18</v>
      </c>
      <c r="D1338">
        <v>203</v>
      </c>
      <c r="E1338">
        <f>SUM(Details[[#This Row],[Actual_Cost]],Details[[#This Row],[Profit]])</f>
        <v>185</v>
      </c>
      <c r="F1338">
        <v>7</v>
      </c>
      <c r="G1338">
        <f>PRODUCT(Details[[#This Row],[Selling_Cost]],Details[[#This Row],[Quantity]])</f>
        <v>1295</v>
      </c>
      <c r="H1338" t="s">
        <v>8</v>
      </c>
      <c r="I1338" t="s">
        <v>58</v>
      </c>
      <c r="J1338" t="s">
        <v>18</v>
      </c>
      <c r="K1338" t="s">
        <v>605</v>
      </c>
      <c r="L1338" t="s">
        <v>614</v>
      </c>
    </row>
    <row r="1339" spans="1:12" x14ac:dyDescent="0.3">
      <c r="A1339" t="s">
        <v>74</v>
      </c>
      <c r="B1339">
        <v>823</v>
      </c>
      <c r="C1339">
        <v>-18</v>
      </c>
      <c r="D1339">
        <v>5761</v>
      </c>
      <c r="E1339">
        <f>SUM(Details[[#This Row],[Actual_Cost]],Details[[#This Row],[Profit]])</f>
        <v>5743</v>
      </c>
      <c r="F1339">
        <v>7</v>
      </c>
      <c r="G1339">
        <f>PRODUCT(Details[[#This Row],[Selling_Cost]],Details[[#This Row],[Quantity]])</f>
        <v>40201</v>
      </c>
      <c r="H1339" t="s">
        <v>16</v>
      </c>
      <c r="I1339" t="s">
        <v>23</v>
      </c>
      <c r="J1339" t="s">
        <v>10</v>
      </c>
      <c r="K1339" t="s">
        <v>552</v>
      </c>
      <c r="L1339" t="s">
        <v>624</v>
      </c>
    </row>
    <row r="1340" spans="1:12" x14ac:dyDescent="0.3">
      <c r="A1340" t="s">
        <v>436</v>
      </c>
      <c r="B1340">
        <v>1137</v>
      </c>
      <c r="C1340">
        <v>-14</v>
      </c>
      <c r="D1340">
        <v>7959</v>
      </c>
      <c r="E1340">
        <f>SUM(Details[[#This Row],[Actual_Cost]],Details[[#This Row],[Profit]])</f>
        <v>7945</v>
      </c>
      <c r="F1340">
        <v>7</v>
      </c>
      <c r="G1340">
        <f>PRODUCT(Details[[#This Row],[Selling_Cost]],Details[[#This Row],[Quantity]])</f>
        <v>55615</v>
      </c>
      <c r="H1340" t="s">
        <v>13</v>
      </c>
      <c r="I1340" t="s">
        <v>20</v>
      </c>
      <c r="J1340" t="s">
        <v>125</v>
      </c>
      <c r="K1340" t="s">
        <v>552</v>
      </c>
      <c r="L1340" t="s">
        <v>541</v>
      </c>
    </row>
    <row r="1341" spans="1:12" x14ac:dyDescent="0.3">
      <c r="A1341" t="s">
        <v>54</v>
      </c>
      <c r="B1341">
        <v>33</v>
      </c>
      <c r="C1341">
        <v>-12</v>
      </c>
      <c r="D1341">
        <v>231</v>
      </c>
      <c r="E1341">
        <f>SUM(Details[[#This Row],[Actual_Cost]],Details[[#This Row],[Profit]])</f>
        <v>219</v>
      </c>
      <c r="F1341">
        <v>7</v>
      </c>
      <c r="G1341">
        <f>PRODUCT(Details[[#This Row],[Selling_Cost]],Details[[#This Row],[Quantity]])</f>
        <v>1533</v>
      </c>
      <c r="H1341" t="s">
        <v>8</v>
      </c>
      <c r="I1341" t="s">
        <v>9</v>
      </c>
      <c r="J1341" t="s">
        <v>18</v>
      </c>
      <c r="K1341" t="s">
        <v>552</v>
      </c>
      <c r="L1341" t="s">
        <v>614</v>
      </c>
    </row>
    <row r="1342" spans="1:12" x14ac:dyDescent="0.3">
      <c r="A1342" t="s">
        <v>497</v>
      </c>
      <c r="B1342">
        <v>482</v>
      </c>
      <c r="C1342">
        <v>-6</v>
      </c>
      <c r="D1342">
        <v>3374</v>
      </c>
      <c r="E1342">
        <f>SUM(Details[[#This Row],[Actual_Cost]],Details[[#This Row],[Profit]])</f>
        <v>3368</v>
      </c>
      <c r="F1342">
        <v>7</v>
      </c>
      <c r="G1342">
        <f>PRODUCT(Details[[#This Row],[Selling_Cost]],Details[[#This Row],[Quantity]])</f>
        <v>23576</v>
      </c>
      <c r="H1342" t="s">
        <v>13</v>
      </c>
      <c r="I1342" t="s">
        <v>34</v>
      </c>
      <c r="J1342" t="s">
        <v>125</v>
      </c>
      <c r="K1342" t="s">
        <v>552</v>
      </c>
      <c r="L1342" t="s">
        <v>554</v>
      </c>
    </row>
    <row r="1343" spans="1:12" x14ac:dyDescent="0.3">
      <c r="A1343" t="s">
        <v>204</v>
      </c>
      <c r="B1343">
        <v>23</v>
      </c>
      <c r="C1343">
        <v>-5</v>
      </c>
      <c r="D1343">
        <v>161</v>
      </c>
      <c r="E1343">
        <f>SUM(Details[[#This Row],[Actual_Cost]],Details[[#This Row],[Profit]])</f>
        <v>156</v>
      </c>
      <c r="F1343">
        <v>7</v>
      </c>
      <c r="G1343">
        <f>PRODUCT(Details[[#This Row],[Selling_Cost]],Details[[#This Row],[Quantity]])</f>
        <v>1092</v>
      </c>
      <c r="H1343" t="s">
        <v>8</v>
      </c>
      <c r="I1343" t="s">
        <v>48</v>
      </c>
      <c r="J1343" t="s">
        <v>27</v>
      </c>
      <c r="K1343" t="s">
        <v>596</v>
      </c>
      <c r="L1343" t="s">
        <v>614</v>
      </c>
    </row>
    <row r="1344" spans="1:12" x14ac:dyDescent="0.3">
      <c r="A1344" t="s">
        <v>498</v>
      </c>
      <c r="B1344">
        <v>75</v>
      </c>
      <c r="C1344">
        <v>0</v>
      </c>
      <c r="D1344">
        <v>525</v>
      </c>
      <c r="E1344">
        <f>SUM(Details[[#This Row],[Actual_Cost]],Details[[#This Row],[Profit]])</f>
        <v>525</v>
      </c>
      <c r="F1344">
        <v>7</v>
      </c>
      <c r="G1344">
        <f>PRODUCT(Details[[#This Row],[Selling_Cost]],Details[[#This Row],[Quantity]])</f>
        <v>3675</v>
      </c>
      <c r="H1344" t="s">
        <v>8</v>
      </c>
      <c r="I1344" t="s">
        <v>9</v>
      </c>
      <c r="J1344" t="s">
        <v>125</v>
      </c>
      <c r="K1344" t="s">
        <v>632</v>
      </c>
      <c r="L1344" t="s">
        <v>565</v>
      </c>
    </row>
    <row r="1345" spans="1:12" x14ac:dyDescent="0.3">
      <c r="A1345" t="s">
        <v>291</v>
      </c>
      <c r="B1345">
        <v>349</v>
      </c>
      <c r="C1345">
        <v>0</v>
      </c>
      <c r="D1345">
        <v>2443</v>
      </c>
      <c r="E1345">
        <f>SUM(Details[[#This Row],[Actual_Cost]],Details[[#This Row],[Profit]])</f>
        <v>2443</v>
      </c>
      <c r="F1345">
        <v>7</v>
      </c>
      <c r="G1345">
        <f>PRODUCT(Details[[#This Row],[Selling_Cost]],Details[[#This Row],[Quantity]])</f>
        <v>17101</v>
      </c>
      <c r="H1345" t="s">
        <v>8</v>
      </c>
      <c r="I1345" t="s">
        <v>29</v>
      </c>
      <c r="J1345" t="s">
        <v>27</v>
      </c>
      <c r="K1345" t="s">
        <v>552</v>
      </c>
      <c r="L1345" t="s">
        <v>567</v>
      </c>
    </row>
    <row r="1346" spans="1:12" x14ac:dyDescent="0.3">
      <c r="A1346" t="s">
        <v>106</v>
      </c>
      <c r="B1346">
        <v>376</v>
      </c>
      <c r="C1346">
        <v>0</v>
      </c>
      <c r="D1346">
        <v>2632</v>
      </c>
      <c r="E1346">
        <f>SUM(Details[[#This Row],[Actual_Cost]],Details[[#This Row],[Profit]])</f>
        <v>2632</v>
      </c>
      <c r="F1346">
        <v>7</v>
      </c>
      <c r="G1346">
        <f>PRODUCT(Details[[#This Row],[Selling_Cost]],Details[[#This Row],[Quantity]])</f>
        <v>18424</v>
      </c>
      <c r="H1346" t="s">
        <v>8</v>
      </c>
      <c r="I1346" t="s">
        <v>29</v>
      </c>
      <c r="J1346" t="s">
        <v>27</v>
      </c>
      <c r="K1346" t="s">
        <v>596</v>
      </c>
      <c r="L1346" t="s">
        <v>541</v>
      </c>
    </row>
    <row r="1347" spans="1:12" x14ac:dyDescent="0.3">
      <c r="A1347" t="s">
        <v>245</v>
      </c>
      <c r="B1347">
        <v>79</v>
      </c>
      <c r="C1347">
        <v>6</v>
      </c>
      <c r="D1347">
        <v>553</v>
      </c>
      <c r="E1347">
        <f>SUM(Details[[#This Row],[Actual_Cost]],Details[[#This Row],[Profit]])</f>
        <v>559</v>
      </c>
      <c r="F1347">
        <v>7</v>
      </c>
      <c r="G1347">
        <f>PRODUCT(Details[[#This Row],[Selling_Cost]],Details[[#This Row],[Quantity]])</f>
        <v>3913</v>
      </c>
      <c r="H1347" t="s">
        <v>8</v>
      </c>
      <c r="I1347" t="s">
        <v>9</v>
      </c>
      <c r="J1347" t="s">
        <v>10</v>
      </c>
      <c r="K1347" t="s">
        <v>548</v>
      </c>
      <c r="L1347" t="s">
        <v>550</v>
      </c>
    </row>
    <row r="1348" spans="1:12" x14ac:dyDescent="0.3">
      <c r="A1348" t="s">
        <v>499</v>
      </c>
      <c r="B1348">
        <v>94</v>
      </c>
      <c r="C1348">
        <v>7</v>
      </c>
      <c r="D1348">
        <v>658</v>
      </c>
      <c r="E1348">
        <f>SUM(Details[[#This Row],[Actual_Cost]],Details[[#This Row],[Profit]])</f>
        <v>665</v>
      </c>
      <c r="F1348">
        <v>7</v>
      </c>
      <c r="G1348">
        <f>PRODUCT(Details[[#This Row],[Selling_Cost]],Details[[#This Row],[Quantity]])</f>
        <v>4655</v>
      </c>
      <c r="H1348" t="s">
        <v>8</v>
      </c>
      <c r="I1348" t="s">
        <v>69</v>
      </c>
      <c r="J1348" t="s">
        <v>18</v>
      </c>
      <c r="K1348" t="s">
        <v>587</v>
      </c>
      <c r="L1348" t="s">
        <v>567</v>
      </c>
    </row>
    <row r="1349" spans="1:12" x14ac:dyDescent="0.3">
      <c r="A1349" t="s">
        <v>293</v>
      </c>
      <c r="B1349">
        <v>141</v>
      </c>
      <c r="C1349">
        <v>7</v>
      </c>
      <c r="D1349">
        <v>987</v>
      </c>
      <c r="E1349">
        <f>SUM(Details[[#This Row],[Actual_Cost]],Details[[#This Row],[Profit]])</f>
        <v>994</v>
      </c>
      <c r="F1349">
        <v>7</v>
      </c>
      <c r="G1349">
        <f>PRODUCT(Details[[#This Row],[Selling_Cost]],Details[[#This Row],[Quantity]])</f>
        <v>6958</v>
      </c>
      <c r="H1349" t="s">
        <v>8</v>
      </c>
      <c r="I1349" t="s">
        <v>9</v>
      </c>
      <c r="J1349" t="s">
        <v>10</v>
      </c>
      <c r="K1349" t="s">
        <v>543</v>
      </c>
      <c r="L1349" t="s">
        <v>544</v>
      </c>
    </row>
    <row r="1350" spans="1:12" x14ac:dyDescent="0.3">
      <c r="A1350" t="s">
        <v>221</v>
      </c>
      <c r="B1350">
        <v>685</v>
      </c>
      <c r="C1350">
        <v>7</v>
      </c>
      <c r="D1350">
        <v>4795</v>
      </c>
      <c r="E1350">
        <f>SUM(Details[[#This Row],[Actual_Cost]],Details[[#This Row],[Profit]])</f>
        <v>4802</v>
      </c>
      <c r="F1350">
        <v>7</v>
      </c>
      <c r="G1350">
        <f>PRODUCT(Details[[#This Row],[Selling_Cost]],Details[[#This Row],[Quantity]])</f>
        <v>33614</v>
      </c>
      <c r="H1350" t="s">
        <v>8</v>
      </c>
      <c r="I1350" t="s">
        <v>41</v>
      </c>
      <c r="J1350" t="s">
        <v>18</v>
      </c>
      <c r="K1350" t="s">
        <v>543</v>
      </c>
      <c r="L1350" t="s">
        <v>550</v>
      </c>
    </row>
    <row r="1351" spans="1:12" x14ac:dyDescent="0.3">
      <c r="A1351" t="s">
        <v>500</v>
      </c>
      <c r="B1351">
        <v>62</v>
      </c>
      <c r="C1351">
        <v>11</v>
      </c>
      <c r="D1351">
        <v>434</v>
      </c>
      <c r="E1351">
        <f>SUM(Details[[#This Row],[Actual_Cost]],Details[[#This Row],[Profit]])</f>
        <v>445</v>
      </c>
      <c r="F1351">
        <v>7</v>
      </c>
      <c r="G1351">
        <f>PRODUCT(Details[[#This Row],[Selling_Cost]],Details[[#This Row],[Quantity]])</f>
        <v>3115</v>
      </c>
      <c r="H1351" t="s">
        <v>8</v>
      </c>
      <c r="I1351" t="s">
        <v>48</v>
      </c>
      <c r="J1351" t="s">
        <v>18</v>
      </c>
      <c r="K1351" t="s">
        <v>607</v>
      </c>
      <c r="L1351" t="s">
        <v>541</v>
      </c>
    </row>
    <row r="1352" spans="1:12" x14ac:dyDescent="0.3">
      <c r="A1352" t="s">
        <v>482</v>
      </c>
      <c r="B1352">
        <v>88</v>
      </c>
      <c r="C1352">
        <v>11</v>
      </c>
      <c r="D1352">
        <v>616</v>
      </c>
      <c r="E1352">
        <f>SUM(Details[[#This Row],[Actual_Cost]],Details[[#This Row],[Profit]])</f>
        <v>627</v>
      </c>
      <c r="F1352">
        <v>7</v>
      </c>
      <c r="G1352">
        <f>PRODUCT(Details[[#This Row],[Selling_Cost]],Details[[#This Row],[Quantity]])</f>
        <v>4389</v>
      </c>
      <c r="H1352" t="s">
        <v>8</v>
      </c>
      <c r="I1352" t="s">
        <v>48</v>
      </c>
      <c r="J1352" t="s">
        <v>18</v>
      </c>
      <c r="K1352" t="s">
        <v>543</v>
      </c>
      <c r="L1352" t="s">
        <v>546</v>
      </c>
    </row>
    <row r="1353" spans="1:12" x14ac:dyDescent="0.3">
      <c r="A1353" t="s">
        <v>356</v>
      </c>
      <c r="B1353">
        <v>45</v>
      </c>
      <c r="C1353">
        <v>12</v>
      </c>
      <c r="D1353">
        <v>315</v>
      </c>
      <c r="E1353">
        <f>SUM(Details[[#This Row],[Actual_Cost]],Details[[#This Row],[Profit]])</f>
        <v>327</v>
      </c>
      <c r="F1353">
        <v>7</v>
      </c>
      <c r="G1353">
        <f>PRODUCT(Details[[#This Row],[Selling_Cost]],Details[[#This Row],[Quantity]])</f>
        <v>2289</v>
      </c>
      <c r="H1353" t="s">
        <v>8</v>
      </c>
      <c r="I1353" t="s">
        <v>48</v>
      </c>
      <c r="J1353" t="s">
        <v>18</v>
      </c>
      <c r="K1353" t="s">
        <v>548</v>
      </c>
      <c r="L1353" t="s">
        <v>563</v>
      </c>
    </row>
    <row r="1354" spans="1:12" x14ac:dyDescent="0.3">
      <c r="A1354" t="s">
        <v>98</v>
      </c>
      <c r="B1354">
        <v>110</v>
      </c>
      <c r="C1354">
        <v>12</v>
      </c>
      <c r="D1354">
        <v>770</v>
      </c>
      <c r="E1354">
        <f>SUM(Details[[#This Row],[Actual_Cost]],Details[[#This Row],[Profit]])</f>
        <v>782</v>
      </c>
      <c r="F1354">
        <v>7</v>
      </c>
      <c r="G1354">
        <f>PRODUCT(Details[[#This Row],[Selling_Cost]],Details[[#This Row],[Quantity]])</f>
        <v>5474</v>
      </c>
      <c r="H1354" t="s">
        <v>8</v>
      </c>
      <c r="I1354" t="s">
        <v>29</v>
      </c>
      <c r="J1354" t="s">
        <v>42</v>
      </c>
      <c r="K1354" t="s">
        <v>607</v>
      </c>
      <c r="L1354" t="s">
        <v>550</v>
      </c>
    </row>
    <row r="1355" spans="1:12" x14ac:dyDescent="0.3">
      <c r="A1355" t="s">
        <v>241</v>
      </c>
      <c r="B1355">
        <v>188</v>
      </c>
      <c r="C1355">
        <v>13</v>
      </c>
      <c r="D1355">
        <v>1316</v>
      </c>
      <c r="E1355">
        <f>SUM(Details[[#This Row],[Actual_Cost]],Details[[#This Row],[Profit]])</f>
        <v>1329</v>
      </c>
      <c r="F1355">
        <v>7</v>
      </c>
      <c r="G1355">
        <f>PRODUCT(Details[[#This Row],[Selling_Cost]],Details[[#This Row],[Quantity]])</f>
        <v>9303</v>
      </c>
      <c r="H1355" t="s">
        <v>8</v>
      </c>
      <c r="I1355" t="s">
        <v>61</v>
      </c>
      <c r="J1355" t="s">
        <v>10</v>
      </c>
      <c r="K1355" t="s">
        <v>552</v>
      </c>
      <c r="L1355" t="s">
        <v>544</v>
      </c>
    </row>
    <row r="1356" spans="1:12" x14ac:dyDescent="0.3">
      <c r="A1356" t="s">
        <v>102</v>
      </c>
      <c r="B1356">
        <v>106</v>
      </c>
      <c r="C1356">
        <v>15</v>
      </c>
      <c r="D1356">
        <v>742</v>
      </c>
      <c r="E1356">
        <f>SUM(Details[[#This Row],[Actual_Cost]],Details[[#This Row],[Profit]])</f>
        <v>757</v>
      </c>
      <c r="F1356">
        <v>7</v>
      </c>
      <c r="G1356">
        <f>PRODUCT(Details[[#This Row],[Selling_Cost]],Details[[#This Row],[Quantity]])</f>
        <v>5299</v>
      </c>
      <c r="H1356" t="s">
        <v>8</v>
      </c>
      <c r="I1356" t="s">
        <v>48</v>
      </c>
      <c r="J1356" t="s">
        <v>27</v>
      </c>
      <c r="K1356" t="s">
        <v>552</v>
      </c>
      <c r="L1356" t="s">
        <v>554</v>
      </c>
    </row>
    <row r="1357" spans="1:12" x14ac:dyDescent="0.3">
      <c r="A1357" t="s">
        <v>398</v>
      </c>
      <c r="B1357">
        <v>81</v>
      </c>
      <c r="C1357">
        <v>19</v>
      </c>
      <c r="D1357">
        <v>567</v>
      </c>
      <c r="E1357">
        <f>SUM(Details[[#This Row],[Actual_Cost]],Details[[#This Row],[Profit]])</f>
        <v>586</v>
      </c>
      <c r="F1357">
        <v>7</v>
      </c>
      <c r="G1357">
        <f>PRODUCT(Details[[#This Row],[Selling_Cost]],Details[[#This Row],[Quantity]])</f>
        <v>4102</v>
      </c>
      <c r="H1357" t="s">
        <v>8</v>
      </c>
      <c r="I1357" t="s">
        <v>48</v>
      </c>
      <c r="J1357" t="s">
        <v>10</v>
      </c>
      <c r="K1357" t="s">
        <v>552</v>
      </c>
      <c r="L1357" t="s">
        <v>563</v>
      </c>
    </row>
    <row r="1358" spans="1:12" x14ac:dyDescent="0.3">
      <c r="A1358" t="s">
        <v>243</v>
      </c>
      <c r="B1358">
        <v>47</v>
      </c>
      <c r="C1358">
        <v>20</v>
      </c>
      <c r="D1358">
        <v>329</v>
      </c>
      <c r="E1358">
        <f>SUM(Details[[#This Row],[Actual_Cost]],Details[[#This Row],[Profit]])</f>
        <v>349</v>
      </c>
      <c r="F1358">
        <v>7</v>
      </c>
      <c r="G1358">
        <f>PRODUCT(Details[[#This Row],[Selling_Cost]],Details[[#This Row],[Quantity]])</f>
        <v>2443</v>
      </c>
      <c r="H1358" t="s">
        <v>8</v>
      </c>
      <c r="I1358" t="s">
        <v>48</v>
      </c>
      <c r="J1358" t="s">
        <v>18</v>
      </c>
      <c r="K1358" t="s">
        <v>578</v>
      </c>
      <c r="L1358" t="s">
        <v>541</v>
      </c>
    </row>
    <row r="1359" spans="1:12" x14ac:dyDescent="0.3">
      <c r="A1359" t="s">
        <v>202</v>
      </c>
      <c r="B1359">
        <v>340</v>
      </c>
      <c r="C1359">
        <v>20</v>
      </c>
      <c r="D1359">
        <v>2380</v>
      </c>
      <c r="E1359">
        <f>SUM(Details[[#This Row],[Actual_Cost]],Details[[#This Row],[Profit]])</f>
        <v>2400</v>
      </c>
      <c r="F1359">
        <v>7</v>
      </c>
      <c r="G1359">
        <f>PRODUCT(Details[[#This Row],[Selling_Cost]],Details[[#This Row],[Quantity]])</f>
        <v>16800</v>
      </c>
      <c r="H1359" t="s">
        <v>8</v>
      </c>
      <c r="I1359" t="s">
        <v>61</v>
      </c>
      <c r="J1359" t="s">
        <v>27</v>
      </c>
      <c r="K1359" t="s">
        <v>610</v>
      </c>
      <c r="L1359" t="s">
        <v>614</v>
      </c>
    </row>
    <row r="1360" spans="1:12" x14ac:dyDescent="0.3">
      <c r="A1360" t="s">
        <v>501</v>
      </c>
      <c r="B1360">
        <v>103</v>
      </c>
      <c r="C1360">
        <v>21</v>
      </c>
      <c r="D1360">
        <v>721</v>
      </c>
      <c r="E1360">
        <f>SUM(Details[[#This Row],[Actual_Cost]],Details[[#This Row],[Profit]])</f>
        <v>742</v>
      </c>
      <c r="F1360">
        <v>7</v>
      </c>
      <c r="G1360">
        <f>PRODUCT(Details[[#This Row],[Selling_Cost]],Details[[#This Row],[Quantity]])</f>
        <v>5194</v>
      </c>
      <c r="H1360" t="s">
        <v>8</v>
      </c>
      <c r="I1360" t="s">
        <v>29</v>
      </c>
      <c r="J1360" t="s">
        <v>18</v>
      </c>
      <c r="K1360" t="s">
        <v>543</v>
      </c>
      <c r="L1360" t="s">
        <v>550</v>
      </c>
    </row>
    <row r="1361" spans="1:12" x14ac:dyDescent="0.3">
      <c r="A1361" t="s">
        <v>186</v>
      </c>
      <c r="B1361">
        <v>154</v>
      </c>
      <c r="C1361">
        <v>22</v>
      </c>
      <c r="D1361">
        <v>1078</v>
      </c>
      <c r="E1361">
        <f>SUM(Details[[#This Row],[Actual_Cost]],Details[[#This Row],[Profit]])</f>
        <v>1100</v>
      </c>
      <c r="F1361">
        <v>7</v>
      </c>
      <c r="G1361">
        <f>PRODUCT(Details[[#This Row],[Selling_Cost]],Details[[#This Row],[Quantity]])</f>
        <v>7700</v>
      </c>
      <c r="H1361" t="s">
        <v>8</v>
      </c>
      <c r="I1361" t="s">
        <v>46</v>
      </c>
      <c r="J1361" t="s">
        <v>10</v>
      </c>
      <c r="K1361" t="s">
        <v>539</v>
      </c>
      <c r="L1361" t="s">
        <v>554</v>
      </c>
    </row>
    <row r="1362" spans="1:12" x14ac:dyDescent="0.3">
      <c r="A1362" t="s">
        <v>140</v>
      </c>
      <c r="B1362">
        <v>221</v>
      </c>
      <c r="C1362">
        <v>26</v>
      </c>
      <c r="D1362">
        <v>1547</v>
      </c>
      <c r="E1362">
        <f>SUM(Details[[#This Row],[Actual_Cost]],Details[[#This Row],[Profit]])</f>
        <v>1573</v>
      </c>
      <c r="F1362">
        <v>7</v>
      </c>
      <c r="G1362">
        <f>PRODUCT(Details[[#This Row],[Selling_Cost]],Details[[#This Row],[Quantity]])</f>
        <v>11011</v>
      </c>
      <c r="H1362" t="s">
        <v>16</v>
      </c>
      <c r="I1362" t="s">
        <v>32</v>
      </c>
      <c r="J1362" t="s">
        <v>10</v>
      </c>
      <c r="K1362" t="s">
        <v>543</v>
      </c>
      <c r="L1362" t="s">
        <v>544</v>
      </c>
    </row>
    <row r="1363" spans="1:12" x14ac:dyDescent="0.3">
      <c r="A1363" t="s">
        <v>502</v>
      </c>
      <c r="B1363">
        <v>141</v>
      </c>
      <c r="C1363">
        <v>28</v>
      </c>
      <c r="D1363">
        <v>987</v>
      </c>
      <c r="E1363">
        <f>SUM(Details[[#This Row],[Actual_Cost]],Details[[#This Row],[Profit]])</f>
        <v>1015</v>
      </c>
      <c r="F1363">
        <v>7</v>
      </c>
      <c r="G1363">
        <f>PRODUCT(Details[[#This Row],[Selling_Cost]],Details[[#This Row],[Quantity]])</f>
        <v>7105</v>
      </c>
      <c r="H1363" t="s">
        <v>16</v>
      </c>
      <c r="I1363" t="s">
        <v>32</v>
      </c>
      <c r="J1363" t="s">
        <v>18</v>
      </c>
      <c r="K1363" t="s">
        <v>552</v>
      </c>
      <c r="L1363" t="s">
        <v>585</v>
      </c>
    </row>
    <row r="1364" spans="1:12" x14ac:dyDescent="0.3">
      <c r="A1364" t="s">
        <v>258</v>
      </c>
      <c r="B1364">
        <v>325</v>
      </c>
      <c r="C1364">
        <v>32</v>
      </c>
      <c r="D1364">
        <v>2275</v>
      </c>
      <c r="E1364">
        <f>SUM(Details[[#This Row],[Actual_Cost]],Details[[#This Row],[Profit]])</f>
        <v>2307</v>
      </c>
      <c r="F1364">
        <v>7</v>
      </c>
      <c r="G1364">
        <f>PRODUCT(Details[[#This Row],[Selling_Cost]],Details[[#This Row],[Quantity]])</f>
        <v>16149</v>
      </c>
      <c r="H1364" t="s">
        <v>8</v>
      </c>
      <c r="I1364" t="s">
        <v>46</v>
      </c>
      <c r="J1364" t="s">
        <v>10</v>
      </c>
      <c r="K1364" t="s">
        <v>607</v>
      </c>
      <c r="L1364" t="s">
        <v>541</v>
      </c>
    </row>
    <row r="1365" spans="1:12" x14ac:dyDescent="0.3">
      <c r="A1365" t="s">
        <v>451</v>
      </c>
      <c r="B1365">
        <v>118</v>
      </c>
      <c r="C1365">
        <v>35</v>
      </c>
      <c r="D1365">
        <v>826</v>
      </c>
      <c r="E1365">
        <f>SUM(Details[[#This Row],[Actual_Cost]],Details[[#This Row],[Profit]])</f>
        <v>861</v>
      </c>
      <c r="F1365">
        <v>7</v>
      </c>
      <c r="G1365">
        <f>PRODUCT(Details[[#This Row],[Selling_Cost]],Details[[#This Row],[Quantity]])</f>
        <v>6027</v>
      </c>
      <c r="H1365" t="s">
        <v>8</v>
      </c>
      <c r="I1365" t="s">
        <v>46</v>
      </c>
      <c r="J1365" t="s">
        <v>125</v>
      </c>
      <c r="K1365" t="s">
        <v>552</v>
      </c>
      <c r="L1365" t="s">
        <v>563</v>
      </c>
    </row>
    <row r="1366" spans="1:12" x14ac:dyDescent="0.3">
      <c r="A1366" t="s">
        <v>230</v>
      </c>
      <c r="B1366">
        <v>97</v>
      </c>
      <c r="C1366">
        <v>36</v>
      </c>
      <c r="D1366">
        <v>679</v>
      </c>
      <c r="E1366">
        <f>SUM(Details[[#This Row],[Actual_Cost]],Details[[#This Row],[Profit]])</f>
        <v>715</v>
      </c>
      <c r="F1366">
        <v>7</v>
      </c>
      <c r="G1366">
        <f>PRODUCT(Details[[#This Row],[Selling_Cost]],Details[[#This Row],[Quantity]])</f>
        <v>5005</v>
      </c>
      <c r="H1366" t="s">
        <v>8</v>
      </c>
      <c r="I1366" t="s">
        <v>48</v>
      </c>
      <c r="J1366" t="s">
        <v>18</v>
      </c>
      <c r="K1366" t="s">
        <v>552</v>
      </c>
      <c r="L1366" t="s">
        <v>550</v>
      </c>
    </row>
    <row r="1367" spans="1:12" x14ac:dyDescent="0.3">
      <c r="A1367" t="s">
        <v>503</v>
      </c>
      <c r="B1367">
        <v>345</v>
      </c>
      <c r="C1367">
        <v>38</v>
      </c>
      <c r="D1367">
        <v>2415</v>
      </c>
      <c r="E1367">
        <f>SUM(Details[[#This Row],[Actual_Cost]],Details[[#This Row],[Profit]])</f>
        <v>2453</v>
      </c>
      <c r="F1367">
        <v>7</v>
      </c>
      <c r="G1367">
        <f>PRODUCT(Details[[#This Row],[Selling_Cost]],Details[[#This Row],[Quantity]])</f>
        <v>17171</v>
      </c>
      <c r="H1367" t="s">
        <v>8</v>
      </c>
      <c r="I1367" t="s">
        <v>48</v>
      </c>
      <c r="J1367" t="s">
        <v>42</v>
      </c>
      <c r="K1367" t="s">
        <v>605</v>
      </c>
      <c r="L1367" t="s">
        <v>563</v>
      </c>
    </row>
    <row r="1368" spans="1:12" x14ac:dyDescent="0.3">
      <c r="A1368" t="s">
        <v>100</v>
      </c>
      <c r="B1368">
        <v>338</v>
      </c>
      <c r="C1368">
        <v>41</v>
      </c>
      <c r="D1368">
        <v>2366</v>
      </c>
      <c r="E1368">
        <f>SUM(Details[[#This Row],[Actual_Cost]],Details[[#This Row],[Profit]])</f>
        <v>2407</v>
      </c>
      <c r="F1368">
        <v>7</v>
      </c>
      <c r="G1368">
        <f>PRODUCT(Details[[#This Row],[Selling_Cost]],Details[[#This Row],[Quantity]])</f>
        <v>16849</v>
      </c>
      <c r="H1368" t="s">
        <v>8</v>
      </c>
      <c r="I1368" t="s">
        <v>48</v>
      </c>
      <c r="J1368" t="s">
        <v>18</v>
      </c>
      <c r="K1368" t="s">
        <v>543</v>
      </c>
      <c r="L1368" t="s">
        <v>544</v>
      </c>
    </row>
    <row r="1369" spans="1:12" x14ac:dyDescent="0.3">
      <c r="A1369" t="s">
        <v>504</v>
      </c>
      <c r="B1369">
        <v>167</v>
      </c>
      <c r="C1369">
        <v>43</v>
      </c>
      <c r="D1369">
        <v>1169</v>
      </c>
      <c r="E1369">
        <f>SUM(Details[[#This Row],[Actual_Cost]],Details[[#This Row],[Profit]])</f>
        <v>1212</v>
      </c>
      <c r="F1369">
        <v>7</v>
      </c>
      <c r="G1369">
        <f>PRODUCT(Details[[#This Row],[Selling_Cost]],Details[[#This Row],[Quantity]])</f>
        <v>8484</v>
      </c>
      <c r="H1369" t="s">
        <v>8</v>
      </c>
      <c r="I1369" t="s">
        <v>46</v>
      </c>
      <c r="J1369" t="s">
        <v>125</v>
      </c>
      <c r="K1369" t="s">
        <v>607</v>
      </c>
      <c r="L1369" t="s">
        <v>585</v>
      </c>
    </row>
    <row r="1370" spans="1:12" x14ac:dyDescent="0.3">
      <c r="A1370" t="s">
        <v>505</v>
      </c>
      <c r="B1370">
        <v>341</v>
      </c>
      <c r="C1370">
        <v>44</v>
      </c>
      <c r="D1370">
        <v>2387</v>
      </c>
      <c r="E1370">
        <f>SUM(Details[[#This Row],[Actual_Cost]],Details[[#This Row],[Profit]])</f>
        <v>2431</v>
      </c>
      <c r="F1370">
        <v>7</v>
      </c>
      <c r="G1370">
        <f>PRODUCT(Details[[#This Row],[Selling_Cost]],Details[[#This Row],[Quantity]])</f>
        <v>17017</v>
      </c>
      <c r="H1370" t="s">
        <v>16</v>
      </c>
      <c r="I1370" t="s">
        <v>32</v>
      </c>
      <c r="J1370" t="s">
        <v>18</v>
      </c>
      <c r="K1370" t="s">
        <v>548</v>
      </c>
      <c r="L1370" t="s">
        <v>544</v>
      </c>
    </row>
    <row r="1371" spans="1:12" x14ac:dyDescent="0.3">
      <c r="A1371" t="s">
        <v>377</v>
      </c>
      <c r="B1371">
        <v>122</v>
      </c>
      <c r="C1371">
        <v>50</v>
      </c>
      <c r="D1371">
        <v>854</v>
      </c>
      <c r="E1371">
        <f>SUM(Details[[#This Row],[Actual_Cost]],Details[[#This Row],[Profit]])</f>
        <v>904</v>
      </c>
      <c r="F1371">
        <v>7</v>
      </c>
      <c r="G1371">
        <f>PRODUCT(Details[[#This Row],[Selling_Cost]],Details[[#This Row],[Quantity]])</f>
        <v>6328</v>
      </c>
      <c r="H1371" t="s">
        <v>8</v>
      </c>
      <c r="I1371" t="s">
        <v>29</v>
      </c>
      <c r="J1371" t="s">
        <v>18</v>
      </c>
      <c r="K1371" t="s">
        <v>711</v>
      </c>
      <c r="L1371" t="s">
        <v>541</v>
      </c>
    </row>
    <row r="1372" spans="1:12" x14ac:dyDescent="0.3">
      <c r="A1372" t="s">
        <v>135</v>
      </c>
      <c r="B1372">
        <v>119</v>
      </c>
      <c r="C1372">
        <v>56</v>
      </c>
      <c r="D1372">
        <v>833</v>
      </c>
      <c r="E1372">
        <f>SUM(Details[[#This Row],[Actual_Cost]],Details[[#This Row],[Profit]])</f>
        <v>889</v>
      </c>
      <c r="F1372">
        <v>7</v>
      </c>
      <c r="G1372">
        <f>PRODUCT(Details[[#This Row],[Selling_Cost]],Details[[#This Row],[Quantity]])</f>
        <v>6223</v>
      </c>
      <c r="H1372" t="s">
        <v>8</v>
      </c>
      <c r="I1372" t="s">
        <v>9</v>
      </c>
      <c r="J1372" t="s">
        <v>125</v>
      </c>
      <c r="K1372" t="s">
        <v>581</v>
      </c>
      <c r="L1372" t="s">
        <v>541</v>
      </c>
    </row>
    <row r="1373" spans="1:12" x14ac:dyDescent="0.3">
      <c r="A1373" t="s">
        <v>128</v>
      </c>
      <c r="B1373">
        <v>122</v>
      </c>
      <c r="C1373">
        <v>59</v>
      </c>
      <c r="D1373">
        <v>854</v>
      </c>
      <c r="E1373">
        <f>SUM(Details[[#This Row],[Actual_Cost]],Details[[#This Row],[Profit]])</f>
        <v>913</v>
      </c>
      <c r="F1373">
        <v>7</v>
      </c>
      <c r="G1373">
        <f>PRODUCT(Details[[#This Row],[Selling_Cost]],Details[[#This Row],[Quantity]])</f>
        <v>6391</v>
      </c>
      <c r="H1373" t="s">
        <v>16</v>
      </c>
      <c r="I1373" t="s">
        <v>32</v>
      </c>
      <c r="J1373" t="s">
        <v>10</v>
      </c>
      <c r="K1373" t="s">
        <v>592</v>
      </c>
      <c r="L1373" t="s">
        <v>544</v>
      </c>
    </row>
    <row r="1374" spans="1:12" x14ac:dyDescent="0.3">
      <c r="A1374" t="s">
        <v>375</v>
      </c>
      <c r="B1374">
        <v>223</v>
      </c>
      <c r="C1374">
        <v>62</v>
      </c>
      <c r="D1374">
        <v>1561</v>
      </c>
      <c r="E1374">
        <f>SUM(Details[[#This Row],[Actual_Cost]],Details[[#This Row],[Profit]])</f>
        <v>1623</v>
      </c>
      <c r="F1374">
        <v>7</v>
      </c>
      <c r="G1374">
        <f>PRODUCT(Details[[#This Row],[Selling_Cost]],Details[[#This Row],[Quantity]])</f>
        <v>11361</v>
      </c>
      <c r="H1374" t="s">
        <v>8</v>
      </c>
      <c r="I1374" t="s">
        <v>61</v>
      </c>
      <c r="J1374" t="s">
        <v>10</v>
      </c>
      <c r="K1374" t="s">
        <v>539</v>
      </c>
      <c r="L1374" t="s">
        <v>550</v>
      </c>
    </row>
    <row r="1375" spans="1:12" x14ac:dyDescent="0.3">
      <c r="A1375" t="s">
        <v>35</v>
      </c>
      <c r="B1375">
        <v>223</v>
      </c>
      <c r="C1375">
        <v>62</v>
      </c>
      <c r="D1375">
        <v>1561</v>
      </c>
      <c r="E1375">
        <f>SUM(Details[[#This Row],[Actual_Cost]],Details[[#This Row],[Profit]])</f>
        <v>1623</v>
      </c>
      <c r="F1375">
        <v>7</v>
      </c>
      <c r="G1375">
        <f>PRODUCT(Details[[#This Row],[Selling_Cost]],Details[[#This Row],[Quantity]])</f>
        <v>11361</v>
      </c>
      <c r="H1375" t="s">
        <v>8</v>
      </c>
      <c r="I1375" t="s">
        <v>61</v>
      </c>
      <c r="J1375" t="s">
        <v>10</v>
      </c>
      <c r="K1375" t="s">
        <v>543</v>
      </c>
      <c r="L1375" t="s">
        <v>544</v>
      </c>
    </row>
    <row r="1376" spans="1:12" x14ac:dyDescent="0.3">
      <c r="A1376" t="s">
        <v>222</v>
      </c>
      <c r="B1376">
        <v>1063</v>
      </c>
      <c r="C1376">
        <v>64</v>
      </c>
      <c r="D1376">
        <v>7441</v>
      </c>
      <c r="E1376">
        <f>SUM(Details[[#This Row],[Actual_Cost]],Details[[#This Row],[Profit]])</f>
        <v>7505</v>
      </c>
      <c r="F1376">
        <v>7</v>
      </c>
      <c r="G1376">
        <f>PRODUCT(Details[[#This Row],[Selling_Cost]],Details[[#This Row],[Quantity]])</f>
        <v>52535</v>
      </c>
      <c r="H1376" t="s">
        <v>13</v>
      </c>
      <c r="I1376" t="s">
        <v>14</v>
      </c>
      <c r="J1376" t="s">
        <v>125</v>
      </c>
      <c r="K1376" t="s">
        <v>581</v>
      </c>
      <c r="L1376" t="s">
        <v>563</v>
      </c>
    </row>
    <row r="1377" spans="1:12" x14ac:dyDescent="0.3">
      <c r="A1377" t="s">
        <v>162</v>
      </c>
      <c r="B1377">
        <v>565</v>
      </c>
      <c r="C1377">
        <v>66</v>
      </c>
      <c r="D1377">
        <v>3955</v>
      </c>
      <c r="E1377">
        <f>SUM(Details[[#This Row],[Actual_Cost]],Details[[#This Row],[Profit]])</f>
        <v>4021</v>
      </c>
      <c r="F1377">
        <v>7</v>
      </c>
      <c r="G1377">
        <f>PRODUCT(Details[[#This Row],[Selling_Cost]],Details[[#This Row],[Quantity]])</f>
        <v>28147</v>
      </c>
      <c r="H1377" t="s">
        <v>8</v>
      </c>
      <c r="I1377" t="s">
        <v>9</v>
      </c>
      <c r="J1377" t="s">
        <v>27</v>
      </c>
      <c r="K1377" t="s">
        <v>592</v>
      </c>
      <c r="L1377" t="s">
        <v>583</v>
      </c>
    </row>
    <row r="1378" spans="1:12" x14ac:dyDescent="0.3">
      <c r="A1378" t="s">
        <v>506</v>
      </c>
      <c r="B1378">
        <v>171</v>
      </c>
      <c r="C1378">
        <v>68</v>
      </c>
      <c r="D1378">
        <v>1197</v>
      </c>
      <c r="E1378">
        <f>SUM(Details[[#This Row],[Actual_Cost]],Details[[#This Row],[Profit]])</f>
        <v>1265</v>
      </c>
      <c r="F1378">
        <v>7</v>
      </c>
      <c r="G1378">
        <f>PRODUCT(Details[[#This Row],[Selling_Cost]],Details[[#This Row],[Quantity]])</f>
        <v>8855</v>
      </c>
      <c r="H1378" t="s">
        <v>8</v>
      </c>
      <c r="I1378" t="s">
        <v>29</v>
      </c>
      <c r="J1378" t="s">
        <v>125</v>
      </c>
      <c r="K1378" t="s">
        <v>552</v>
      </c>
      <c r="L1378" t="s">
        <v>544</v>
      </c>
    </row>
    <row r="1379" spans="1:12" x14ac:dyDescent="0.3">
      <c r="A1379" t="s">
        <v>7</v>
      </c>
      <c r="B1379">
        <v>418</v>
      </c>
      <c r="C1379">
        <v>70</v>
      </c>
      <c r="D1379">
        <v>2926</v>
      </c>
      <c r="E1379">
        <f>SUM(Details[[#This Row],[Actual_Cost]],Details[[#This Row],[Profit]])</f>
        <v>2996</v>
      </c>
      <c r="F1379">
        <v>7</v>
      </c>
      <c r="G1379">
        <f>PRODUCT(Details[[#This Row],[Selling_Cost]],Details[[#This Row],[Quantity]])</f>
        <v>20972</v>
      </c>
      <c r="H1379" t="s">
        <v>13</v>
      </c>
      <c r="I1379" t="s">
        <v>14</v>
      </c>
      <c r="J1379" t="s">
        <v>10</v>
      </c>
      <c r="K1379" t="s">
        <v>539</v>
      </c>
      <c r="L1379" t="s">
        <v>554</v>
      </c>
    </row>
    <row r="1380" spans="1:12" x14ac:dyDescent="0.3">
      <c r="A1380" t="s">
        <v>507</v>
      </c>
      <c r="B1380">
        <v>148</v>
      </c>
      <c r="C1380">
        <v>72</v>
      </c>
      <c r="D1380">
        <v>1036</v>
      </c>
      <c r="E1380">
        <f>SUM(Details[[#This Row],[Actual_Cost]],Details[[#This Row],[Profit]])</f>
        <v>1108</v>
      </c>
      <c r="F1380">
        <v>7</v>
      </c>
      <c r="G1380">
        <f>PRODUCT(Details[[#This Row],[Selling_Cost]],Details[[#This Row],[Quantity]])</f>
        <v>7756</v>
      </c>
      <c r="H1380" t="s">
        <v>8</v>
      </c>
      <c r="I1380" t="s">
        <v>46</v>
      </c>
      <c r="J1380" t="s">
        <v>42</v>
      </c>
      <c r="K1380" t="s">
        <v>632</v>
      </c>
      <c r="L1380" t="s">
        <v>624</v>
      </c>
    </row>
    <row r="1381" spans="1:12" x14ac:dyDescent="0.3">
      <c r="A1381" t="s">
        <v>94</v>
      </c>
      <c r="B1381">
        <v>845</v>
      </c>
      <c r="C1381">
        <v>84</v>
      </c>
      <c r="D1381">
        <v>5915</v>
      </c>
      <c r="E1381">
        <f>SUM(Details[[#This Row],[Actual_Cost]],Details[[#This Row],[Profit]])</f>
        <v>5999</v>
      </c>
      <c r="F1381">
        <v>7</v>
      </c>
      <c r="G1381">
        <f>PRODUCT(Details[[#This Row],[Selling_Cost]],Details[[#This Row],[Quantity]])</f>
        <v>41993</v>
      </c>
      <c r="H1381" t="s">
        <v>8</v>
      </c>
      <c r="I1381" t="s">
        <v>9</v>
      </c>
      <c r="J1381" t="s">
        <v>27</v>
      </c>
      <c r="K1381" t="s">
        <v>561</v>
      </c>
      <c r="L1381" t="s">
        <v>567</v>
      </c>
    </row>
    <row r="1382" spans="1:12" x14ac:dyDescent="0.3">
      <c r="A1382" t="s">
        <v>508</v>
      </c>
      <c r="B1382">
        <v>189</v>
      </c>
      <c r="C1382">
        <v>87</v>
      </c>
      <c r="D1382">
        <v>1323</v>
      </c>
      <c r="E1382">
        <f>SUM(Details[[#This Row],[Actual_Cost]],Details[[#This Row],[Profit]])</f>
        <v>1410</v>
      </c>
      <c r="F1382">
        <v>7</v>
      </c>
      <c r="G1382">
        <f>PRODUCT(Details[[#This Row],[Selling_Cost]],Details[[#This Row],[Quantity]])</f>
        <v>9870</v>
      </c>
      <c r="H1382" t="s">
        <v>8</v>
      </c>
      <c r="I1382" t="s">
        <v>29</v>
      </c>
      <c r="J1382" t="s">
        <v>10</v>
      </c>
      <c r="K1382" t="s">
        <v>592</v>
      </c>
      <c r="L1382" t="s">
        <v>567</v>
      </c>
    </row>
    <row r="1383" spans="1:12" x14ac:dyDescent="0.3">
      <c r="A1383" t="s">
        <v>509</v>
      </c>
      <c r="B1383">
        <v>212</v>
      </c>
      <c r="C1383">
        <v>97</v>
      </c>
      <c r="D1383">
        <v>1484</v>
      </c>
      <c r="E1383">
        <f>SUM(Details[[#This Row],[Actual_Cost]],Details[[#This Row],[Profit]])</f>
        <v>1581</v>
      </c>
      <c r="F1383">
        <v>7</v>
      </c>
      <c r="G1383">
        <f>PRODUCT(Details[[#This Row],[Selling_Cost]],Details[[#This Row],[Quantity]])</f>
        <v>11067</v>
      </c>
      <c r="H1383" t="s">
        <v>8</v>
      </c>
      <c r="I1383" t="s">
        <v>48</v>
      </c>
      <c r="J1383" t="s">
        <v>10</v>
      </c>
      <c r="K1383" t="s">
        <v>587</v>
      </c>
      <c r="L1383" t="s">
        <v>541</v>
      </c>
    </row>
    <row r="1384" spans="1:12" x14ac:dyDescent="0.3">
      <c r="A1384" t="s">
        <v>471</v>
      </c>
      <c r="B1384">
        <v>406</v>
      </c>
      <c r="C1384">
        <v>97</v>
      </c>
      <c r="D1384">
        <v>2842</v>
      </c>
      <c r="E1384">
        <f>SUM(Details[[#This Row],[Actual_Cost]],Details[[#This Row],[Profit]])</f>
        <v>2939</v>
      </c>
      <c r="F1384">
        <v>7</v>
      </c>
      <c r="G1384">
        <f>PRODUCT(Details[[#This Row],[Selling_Cost]],Details[[#This Row],[Quantity]])</f>
        <v>20573</v>
      </c>
      <c r="H1384" t="s">
        <v>16</v>
      </c>
      <c r="I1384" t="s">
        <v>23</v>
      </c>
      <c r="J1384" t="s">
        <v>27</v>
      </c>
      <c r="K1384" t="s">
        <v>607</v>
      </c>
      <c r="L1384" t="s">
        <v>544</v>
      </c>
    </row>
    <row r="1385" spans="1:12" x14ac:dyDescent="0.3">
      <c r="A1385" t="s">
        <v>78</v>
      </c>
      <c r="B1385">
        <v>294</v>
      </c>
      <c r="C1385">
        <v>109</v>
      </c>
      <c r="D1385">
        <v>2058</v>
      </c>
      <c r="E1385">
        <f>SUM(Details[[#This Row],[Actual_Cost]],Details[[#This Row],[Profit]])</f>
        <v>2167</v>
      </c>
      <c r="F1385">
        <v>7</v>
      </c>
      <c r="G1385">
        <f>PRODUCT(Details[[#This Row],[Selling_Cost]],Details[[#This Row],[Quantity]])</f>
        <v>15169</v>
      </c>
      <c r="H1385" t="s">
        <v>13</v>
      </c>
      <c r="I1385" t="s">
        <v>55</v>
      </c>
      <c r="J1385" t="s">
        <v>125</v>
      </c>
      <c r="K1385" t="s">
        <v>548</v>
      </c>
      <c r="L1385" t="s">
        <v>567</v>
      </c>
    </row>
    <row r="1386" spans="1:12" x14ac:dyDescent="0.3">
      <c r="A1386" t="s">
        <v>245</v>
      </c>
      <c r="B1386">
        <v>802</v>
      </c>
      <c r="C1386">
        <v>120</v>
      </c>
      <c r="D1386">
        <v>5614</v>
      </c>
      <c r="E1386">
        <f>SUM(Details[[#This Row],[Actual_Cost]],Details[[#This Row],[Profit]])</f>
        <v>5734</v>
      </c>
      <c r="F1386">
        <v>7</v>
      </c>
      <c r="G1386">
        <f>PRODUCT(Details[[#This Row],[Selling_Cost]],Details[[#This Row],[Quantity]])</f>
        <v>40138</v>
      </c>
      <c r="H1386" t="s">
        <v>13</v>
      </c>
      <c r="I1386" t="s">
        <v>55</v>
      </c>
      <c r="J1386" t="s">
        <v>10</v>
      </c>
      <c r="K1386" t="s">
        <v>548</v>
      </c>
      <c r="L1386" t="s">
        <v>550</v>
      </c>
    </row>
    <row r="1387" spans="1:12" x14ac:dyDescent="0.3">
      <c r="A1387" t="s">
        <v>123</v>
      </c>
      <c r="B1387">
        <v>2292</v>
      </c>
      <c r="C1387">
        <v>127</v>
      </c>
      <c r="D1387">
        <v>16044</v>
      </c>
      <c r="E1387">
        <f>SUM(Details[[#This Row],[Actual_Cost]],Details[[#This Row],[Profit]])</f>
        <v>16171</v>
      </c>
      <c r="F1387">
        <v>7</v>
      </c>
      <c r="G1387">
        <f>PRODUCT(Details[[#This Row],[Selling_Cost]],Details[[#This Row],[Quantity]])</f>
        <v>113197</v>
      </c>
      <c r="H1387" t="s">
        <v>16</v>
      </c>
      <c r="I1387" t="s">
        <v>17</v>
      </c>
      <c r="J1387" t="s">
        <v>10</v>
      </c>
      <c r="K1387" t="s">
        <v>548</v>
      </c>
      <c r="L1387" t="s">
        <v>544</v>
      </c>
    </row>
    <row r="1388" spans="1:12" x14ac:dyDescent="0.3">
      <c r="A1388" t="s">
        <v>314</v>
      </c>
      <c r="B1388">
        <v>1337</v>
      </c>
      <c r="C1388">
        <v>147</v>
      </c>
      <c r="D1388">
        <v>9359</v>
      </c>
      <c r="E1388">
        <f>SUM(Details[[#This Row],[Actual_Cost]],Details[[#This Row],[Profit]])</f>
        <v>9506</v>
      </c>
      <c r="F1388">
        <v>7</v>
      </c>
      <c r="G1388">
        <f>PRODUCT(Details[[#This Row],[Selling_Cost]],Details[[#This Row],[Quantity]])</f>
        <v>66542</v>
      </c>
      <c r="H1388" t="s">
        <v>13</v>
      </c>
      <c r="I1388" t="s">
        <v>20</v>
      </c>
      <c r="J1388" t="s">
        <v>27</v>
      </c>
      <c r="K1388" t="s">
        <v>632</v>
      </c>
      <c r="L1388" t="s">
        <v>541</v>
      </c>
    </row>
    <row r="1389" spans="1:12" x14ac:dyDescent="0.3">
      <c r="A1389" t="s">
        <v>510</v>
      </c>
      <c r="B1389">
        <v>811</v>
      </c>
      <c r="C1389">
        <v>154</v>
      </c>
      <c r="D1389">
        <v>5677</v>
      </c>
      <c r="E1389">
        <f>SUM(Details[[#This Row],[Actual_Cost]],Details[[#This Row],[Profit]])</f>
        <v>5831</v>
      </c>
      <c r="F1389">
        <v>7</v>
      </c>
      <c r="G1389">
        <f>PRODUCT(Details[[#This Row],[Selling_Cost]],Details[[#This Row],[Quantity]])</f>
        <v>40817</v>
      </c>
      <c r="H1389" t="s">
        <v>13</v>
      </c>
      <c r="I1389" t="s">
        <v>55</v>
      </c>
      <c r="J1389" t="s">
        <v>18</v>
      </c>
      <c r="K1389" t="s">
        <v>587</v>
      </c>
      <c r="L1389" t="s">
        <v>546</v>
      </c>
    </row>
    <row r="1390" spans="1:12" x14ac:dyDescent="0.3">
      <c r="A1390" t="s">
        <v>420</v>
      </c>
      <c r="B1390">
        <v>341</v>
      </c>
      <c r="C1390">
        <v>160</v>
      </c>
      <c r="D1390">
        <v>2387</v>
      </c>
      <c r="E1390">
        <f>SUM(Details[[#This Row],[Actual_Cost]],Details[[#This Row],[Profit]])</f>
        <v>2547</v>
      </c>
      <c r="F1390">
        <v>7</v>
      </c>
      <c r="G1390">
        <f>PRODUCT(Details[[#This Row],[Selling_Cost]],Details[[#This Row],[Quantity]])</f>
        <v>17829</v>
      </c>
      <c r="H1390" t="s">
        <v>8</v>
      </c>
      <c r="I1390" t="s">
        <v>29</v>
      </c>
      <c r="J1390" t="s">
        <v>42</v>
      </c>
      <c r="K1390" t="s">
        <v>548</v>
      </c>
      <c r="L1390" t="s">
        <v>546</v>
      </c>
    </row>
    <row r="1391" spans="1:12" x14ac:dyDescent="0.3">
      <c r="A1391" t="s">
        <v>301</v>
      </c>
      <c r="B1391">
        <v>2452</v>
      </c>
      <c r="C1391">
        <v>191</v>
      </c>
      <c r="D1391">
        <v>17164</v>
      </c>
      <c r="E1391">
        <f>SUM(Details[[#This Row],[Actual_Cost]],Details[[#This Row],[Profit]])</f>
        <v>17355</v>
      </c>
      <c r="F1391">
        <v>7</v>
      </c>
      <c r="G1391">
        <f>PRODUCT(Details[[#This Row],[Selling_Cost]],Details[[#This Row],[Quantity]])</f>
        <v>121485</v>
      </c>
      <c r="H1391" t="s">
        <v>16</v>
      </c>
      <c r="I1391" t="s">
        <v>17</v>
      </c>
      <c r="J1391" t="s">
        <v>18</v>
      </c>
      <c r="K1391" t="s">
        <v>569</v>
      </c>
      <c r="L1391" t="s">
        <v>546</v>
      </c>
    </row>
    <row r="1392" spans="1:12" x14ac:dyDescent="0.3">
      <c r="A1392" t="s">
        <v>511</v>
      </c>
      <c r="B1392">
        <v>911</v>
      </c>
      <c r="C1392">
        <v>202</v>
      </c>
      <c r="D1392">
        <v>6377</v>
      </c>
      <c r="E1392">
        <f>SUM(Details[[#This Row],[Actual_Cost]],Details[[#This Row],[Profit]])</f>
        <v>6579</v>
      </c>
      <c r="F1392">
        <v>7</v>
      </c>
      <c r="G1392">
        <f>PRODUCT(Details[[#This Row],[Selling_Cost]],Details[[#This Row],[Quantity]])</f>
        <v>46053</v>
      </c>
      <c r="H1392" t="s">
        <v>16</v>
      </c>
      <c r="I1392" t="s">
        <v>23</v>
      </c>
      <c r="J1392" t="s">
        <v>10</v>
      </c>
      <c r="K1392" t="s">
        <v>548</v>
      </c>
      <c r="L1392" t="s">
        <v>563</v>
      </c>
    </row>
    <row r="1393" spans="1:12" x14ac:dyDescent="0.3">
      <c r="A1393" t="s">
        <v>63</v>
      </c>
      <c r="B1393">
        <v>523</v>
      </c>
      <c r="C1393">
        <v>204</v>
      </c>
      <c r="D1393">
        <v>3661</v>
      </c>
      <c r="E1393">
        <f>SUM(Details[[#This Row],[Actual_Cost]],Details[[#This Row],[Profit]])</f>
        <v>3865</v>
      </c>
      <c r="F1393">
        <v>7</v>
      </c>
      <c r="G1393">
        <f>PRODUCT(Details[[#This Row],[Selling_Cost]],Details[[#This Row],[Quantity]])</f>
        <v>27055</v>
      </c>
      <c r="H1393" t="s">
        <v>8</v>
      </c>
      <c r="I1393" t="s">
        <v>41</v>
      </c>
      <c r="J1393" t="s">
        <v>10</v>
      </c>
      <c r="K1393" t="s">
        <v>552</v>
      </c>
      <c r="L1393" t="s">
        <v>585</v>
      </c>
    </row>
    <row r="1394" spans="1:12" x14ac:dyDescent="0.3">
      <c r="A1394" t="s">
        <v>84</v>
      </c>
      <c r="B1394">
        <v>425</v>
      </c>
      <c r="C1394">
        <v>208</v>
      </c>
      <c r="D1394">
        <v>2975</v>
      </c>
      <c r="E1394">
        <f>SUM(Details[[#This Row],[Actual_Cost]],Details[[#This Row],[Profit]])</f>
        <v>3183</v>
      </c>
      <c r="F1394">
        <v>7</v>
      </c>
      <c r="G1394">
        <f>PRODUCT(Details[[#This Row],[Selling_Cost]],Details[[#This Row],[Quantity]])</f>
        <v>22281</v>
      </c>
      <c r="H1394" t="s">
        <v>8</v>
      </c>
      <c r="I1394" t="s">
        <v>9</v>
      </c>
      <c r="J1394" t="s">
        <v>42</v>
      </c>
      <c r="K1394" t="s">
        <v>641</v>
      </c>
      <c r="L1394" t="s">
        <v>541</v>
      </c>
    </row>
    <row r="1395" spans="1:12" x14ac:dyDescent="0.3">
      <c r="A1395" t="s">
        <v>233</v>
      </c>
      <c r="B1395">
        <v>1716</v>
      </c>
      <c r="C1395">
        <v>309</v>
      </c>
      <c r="D1395">
        <v>12012</v>
      </c>
      <c r="E1395">
        <f>SUM(Details[[#This Row],[Actual_Cost]],Details[[#This Row],[Profit]])</f>
        <v>12321</v>
      </c>
      <c r="F1395">
        <v>7</v>
      </c>
      <c r="G1395">
        <f>PRODUCT(Details[[#This Row],[Selling_Cost]],Details[[#This Row],[Quantity]])</f>
        <v>86247</v>
      </c>
      <c r="H1395" t="s">
        <v>13</v>
      </c>
      <c r="I1395" t="s">
        <v>55</v>
      </c>
      <c r="J1395" t="s">
        <v>10</v>
      </c>
      <c r="K1395" t="s">
        <v>548</v>
      </c>
      <c r="L1395" t="s">
        <v>546</v>
      </c>
    </row>
    <row r="1396" spans="1:12" x14ac:dyDescent="0.3">
      <c r="A1396" t="s">
        <v>512</v>
      </c>
      <c r="B1396">
        <v>1250</v>
      </c>
      <c r="C1396">
        <v>486</v>
      </c>
      <c r="D1396">
        <v>8750</v>
      </c>
      <c r="E1396">
        <f>SUM(Details[[#This Row],[Actual_Cost]],Details[[#This Row],[Profit]])</f>
        <v>9236</v>
      </c>
      <c r="F1396">
        <v>7</v>
      </c>
      <c r="G1396">
        <f>PRODUCT(Details[[#This Row],[Selling_Cost]],Details[[#This Row],[Quantity]])</f>
        <v>64652</v>
      </c>
      <c r="H1396" t="s">
        <v>8</v>
      </c>
      <c r="I1396" t="s">
        <v>9</v>
      </c>
      <c r="J1396" t="s">
        <v>125</v>
      </c>
      <c r="K1396" t="s">
        <v>632</v>
      </c>
      <c r="L1396" t="s">
        <v>563</v>
      </c>
    </row>
    <row r="1397" spans="1:12" x14ac:dyDescent="0.3">
      <c r="A1397" t="s">
        <v>206</v>
      </c>
      <c r="B1397">
        <v>1316</v>
      </c>
      <c r="C1397">
        <v>527</v>
      </c>
      <c r="D1397">
        <v>9212</v>
      </c>
      <c r="E1397">
        <f>SUM(Details[[#This Row],[Actual_Cost]],Details[[#This Row],[Profit]])</f>
        <v>9739</v>
      </c>
      <c r="F1397">
        <v>7</v>
      </c>
      <c r="G1397">
        <f>PRODUCT(Details[[#This Row],[Selling_Cost]],Details[[#This Row],[Quantity]])</f>
        <v>68173</v>
      </c>
      <c r="H1397" t="s">
        <v>13</v>
      </c>
      <c r="I1397" t="s">
        <v>34</v>
      </c>
      <c r="J1397" t="s">
        <v>27</v>
      </c>
      <c r="K1397" t="s">
        <v>552</v>
      </c>
      <c r="L1397" t="s">
        <v>554</v>
      </c>
    </row>
    <row r="1398" spans="1:12" x14ac:dyDescent="0.3">
      <c r="A1398" t="s">
        <v>63</v>
      </c>
      <c r="B1398">
        <v>1096</v>
      </c>
      <c r="C1398">
        <v>658</v>
      </c>
      <c r="D1398">
        <v>7672</v>
      </c>
      <c r="E1398">
        <f>SUM(Details[[#This Row],[Actual_Cost]],Details[[#This Row],[Profit]])</f>
        <v>8330</v>
      </c>
      <c r="F1398">
        <v>7</v>
      </c>
      <c r="G1398">
        <f>PRODUCT(Details[[#This Row],[Selling_Cost]],Details[[#This Row],[Quantity]])</f>
        <v>58310</v>
      </c>
      <c r="H1398" t="s">
        <v>13</v>
      </c>
      <c r="I1398" t="s">
        <v>34</v>
      </c>
      <c r="J1398" t="s">
        <v>10</v>
      </c>
      <c r="K1398" t="s">
        <v>552</v>
      </c>
      <c r="L1398" t="s">
        <v>585</v>
      </c>
    </row>
    <row r="1399" spans="1:12" x14ac:dyDescent="0.3">
      <c r="A1399" t="s">
        <v>89</v>
      </c>
      <c r="B1399">
        <v>1389</v>
      </c>
      <c r="C1399">
        <v>680</v>
      </c>
      <c r="D1399">
        <v>9723</v>
      </c>
      <c r="E1399">
        <f>SUM(Details[[#This Row],[Actual_Cost]],Details[[#This Row],[Profit]])</f>
        <v>10403</v>
      </c>
      <c r="F1399">
        <v>7</v>
      </c>
      <c r="G1399">
        <f>PRODUCT(Details[[#This Row],[Selling_Cost]],Details[[#This Row],[Quantity]])</f>
        <v>72821</v>
      </c>
      <c r="H1399" t="s">
        <v>8</v>
      </c>
      <c r="I1399" t="s">
        <v>9</v>
      </c>
      <c r="J1399" t="s">
        <v>10</v>
      </c>
      <c r="K1399" t="s">
        <v>548</v>
      </c>
      <c r="L1399" t="s">
        <v>624</v>
      </c>
    </row>
    <row r="1400" spans="1:12" x14ac:dyDescent="0.3">
      <c r="A1400" t="s">
        <v>357</v>
      </c>
      <c r="B1400">
        <v>1275</v>
      </c>
      <c r="C1400">
        <v>1148</v>
      </c>
      <c r="D1400">
        <v>8925</v>
      </c>
      <c r="E1400">
        <f>SUM(Details[[#This Row],[Actual_Cost]],Details[[#This Row],[Profit]])</f>
        <v>10073</v>
      </c>
      <c r="F1400">
        <v>7</v>
      </c>
      <c r="G1400">
        <f>PRODUCT(Details[[#This Row],[Selling_Cost]],Details[[#This Row],[Quantity]])</f>
        <v>70511</v>
      </c>
      <c r="H1400" t="s">
        <v>16</v>
      </c>
      <c r="I1400" t="s">
        <v>17</v>
      </c>
      <c r="J1400" t="s">
        <v>125</v>
      </c>
      <c r="K1400" t="s">
        <v>569</v>
      </c>
      <c r="L1400" t="s">
        <v>565</v>
      </c>
    </row>
    <row r="1401" spans="1:12" x14ac:dyDescent="0.3">
      <c r="A1401" t="s">
        <v>131</v>
      </c>
      <c r="B1401">
        <v>1279</v>
      </c>
      <c r="C1401">
        <v>-640</v>
      </c>
      <c r="D1401">
        <v>10232</v>
      </c>
      <c r="E1401">
        <f>SUM(Details[[#This Row],[Actual_Cost]],Details[[#This Row],[Profit]])</f>
        <v>9592</v>
      </c>
      <c r="F1401">
        <v>8</v>
      </c>
      <c r="G1401">
        <f>PRODUCT(Details[[#This Row],[Selling_Cost]],Details[[#This Row],[Quantity]])</f>
        <v>76736</v>
      </c>
      <c r="H1401" t="s">
        <v>13</v>
      </c>
      <c r="I1401" t="s">
        <v>20</v>
      </c>
      <c r="J1401" t="s">
        <v>125</v>
      </c>
      <c r="K1401" t="s">
        <v>596</v>
      </c>
      <c r="L1401" t="s">
        <v>624</v>
      </c>
    </row>
    <row r="1402" spans="1:12" x14ac:dyDescent="0.3">
      <c r="A1402" t="s">
        <v>118</v>
      </c>
      <c r="B1402">
        <v>1218</v>
      </c>
      <c r="C1402">
        <v>-420</v>
      </c>
      <c r="D1402">
        <v>9744</v>
      </c>
      <c r="E1402">
        <f>SUM(Details[[#This Row],[Actual_Cost]],Details[[#This Row],[Profit]])</f>
        <v>9324</v>
      </c>
      <c r="F1402">
        <v>8</v>
      </c>
      <c r="G1402">
        <f>PRODUCT(Details[[#This Row],[Selling_Cost]],Details[[#This Row],[Quantity]])</f>
        <v>74592</v>
      </c>
      <c r="H1402" t="s">
        <v>16</v>
      </c>
      <c r="I1402" t="s">
        <v>17</v>
      </c>
      <c r="J1402" t="s">
        <v>10</v>
      </c>
      <c r="K1402" t="s">
        <v>539</v>
      </c>
      <c r="L1402" t="s">
        <v>541</v>
      </c>
    </row>
    <row r="1403" spans="1:12" x14ac:dyDescent="0.3">
      <c r="A1403" t="s">
        <v>38</v>
      </c>
      <c r="B1403">
        <v>161</v>
      </c>
      <c r="C1403">
        <v>-229</v>
      </c>
      <c r="D1403">
        <v>1288</v>
      </c>
      <c r="E1403">
        <f>SUM(Details[[#This Row],[Actual_Cost]],Details[[#This Row],[Profit]])</f>
        <v>1059</v>
      </c>
      <c r="F1403">
        <v>8</v>
      </c>
      <c r="G1403">
        <f>PRODUCT(Details[[#This Row],[Selling_Cost]],Details[[#This Row],[Quantity]])</f>
        <v>8472</v>
      </c>
      <c r="H1403" t="s">
        <v>16</v>
      </c>
      <c r="I1403" t="s">
        <v>32</v>
      </c>
      <c r="J1403" t="s">
        <v>10</v>
      </c>
      <c r="K1403" t="s">
        <v>543</v>
      </c>
      <c r="L1403" t="s">
        <v>546</v>
      </c>
    </row>
    <row r="1404" spans="1:12" x14ac:dyDescent="0.3">
      <c r="A1404" t="s">
        <v>513</v>
      </c>
      <c r="B1404">
        <v>131</v>
      </c>
      <c r="C1404">
        <v>-154</v>
      </c>
      <c r="D1404">
        <v>1048</v>
      </c>
      <c r="E1404">
        <f>SUM(Details[[#This Row],[Actual_Cost]],Details[[#This Row],[Profit]])</f>
        <v>894</v>
      </c>
      <c r="F1404">
        <v>8</v>
      </c>
      <c r="G1404">
        <f>PRODUCT(Details[[#This Row],[Selling_Cost]],Details[[#This Row],[Quantity]])</f>
        <v>7152</v>
      </c>
      <c r="H1404" t="s">
        <v>16</v>
      </c>
      <c r="I1404" t="s">
        <v>32</v>
      </c>
      <c r="J1404" t="s">
        <v>10</v>
      </c>
      <c r="K1404" t="s">
        <v>632</v>
      </c>
      <c r="L1404" t="s">
        <v>614</v>
      </c>
    </row>
    <row r="1405" spans="1:12" x14ac:dyDescent="0.3">
      <c r="A1405" t="s">
        <v>514</v>
      </c>
      <c r="B1405">
        <v>490</v>
      </c>
      <c r="C1405">
        <v>-128</v>
      </c>
      <c r="D1405">
        <v>3920</v>
      </c>
      <c r="E1405">
        <f>SUM(Details[[#This Row],[Actual_Cost]],Details[[#This Row],[Profit]])</f>
        <v>3792</v>
      </c>
      <c r="F1405">
        <v>8</v>
      </c>
      <c r="G1405">
        <f>PRODUCT(Details[[#This Row],[Selling_Cost]],Details[[#This Row],[Quantity]])</f>
        <v>30336</v>
      </c>
      <c r="H1405" t="s">
        <v>16</v>
      </c>
      <c r="I1405" t="s">
        <v>17</v>
      </c>
      <c r="J1405" t="s">
        <v>18</v>
      </c>
      <c r="K1405" t="s">
        <v>548</v>
      </c>
      <c r="L1405" t="s">
        <v>614</v>
      </c>
    </row>
    <row r="1406" spans="1:12" x14ac:dyDescent="0.3">
      <c r="A1406" t="s">
        <v>59</v>
      </c>
      <c r="B1406">
        <v>74</v>
      </c>
      <c r="C1406">
        <v>-123</v>
      </c>
      <c r="D1406">
        <v>592</v>
      </c>
      <c r="E1406">
        <f>SUM(Details[[#This Row],[Actual_Cost]],Details[[#This Row],[Profit]])</f>
        <v>469</v>
      </c>
      <c r="F1406">
        <v>8</v>
      </c>
      <c r="G1406">
        <f>PRODUCT(Details[[#This Row],[Selling_Cost]],Details[[#This Row],[Quantity]])</f>
        <v>3752</v>
      </c>
      <c r="H1406" t="s">
        <v>8</v>
      </c>
      <c r="I1406" t="s">
        <v>58</v>
      </c>
      <c r="J1406" t="s">
        <v>18</v>
      </c>
      <c r="K1406" t="s">
        <v>552</v>
      </c>
      <c r="L1406" t="s">
        <v>624</v>
      </c>
    </row>
    <row r="1407" spans="1:12" x14ac:dyDescent="0.3">
      <c r="A1407" t="s">
        <v>515</v>
      </c>
      <c r="B1407">
        <v>76</v>
      </c>
      <c r="C1407">
        <v>-92</v>
      </c>
      <c r="D1407">
        <v>608</v>
      </c>
      <c r="E1407">
        <f>SUM(Details[[#This Row],[Actual_Cost]],Details[[#This Row],[Profit]])</f>
        <v>516</v>
      </c>
      <c r="F1407">
        <v>8</v>
      </c>
      <c r="G1407">
        <f>PRODUCT(Details[[#This Row],[Selling_Cost]],Details[[#This Row],[Quantity]])</f>
        <v>4128</v>
      </c>
      <c r="H1407" t="s">
        <v>16</v>
      </c>
      <c r="I1407" t="s">
        <v>32</v>
      </c>
      <c r="J1407" t="s">
        <v>10</v>
      </c>
      <c r="K1407" t="s">
        <v>548</v>
      </c>
      <c r="L1407" t="s">
        <v>565</v>
      </c>
    </row>
    <row r="1408" spans="1:12" x14ac:dyDescent="0.3">
      <c r="A1408" t="s">
        <v>177</v>
      </c>
      <c r="B1408">
        <v>60</v>
      </c>
      <c r="C1408">
        <v>-49</v>
      </c>
      <c r="D1408">
        <v>480</v>
      </c>
      <c r="E1408">
        <f>SUM(Details[[#This Row],[Actual_Cost]],Details[[#This Row],[Profit]])</f>
        <v>431</v>
      </c>
      <c r="F1408">
        <v>8</v>
      </c>
      <c r="G1408">
        <f>PRODUCT(Details[[#This Row],[Selling_Cost]],Details[[#This Row],[Quantity]])</f>
        <v>3448</v>
      </c>
      <c r="H1408" t="s">
        <v>8</v>
      </c>
      <c r="I1408" t="s">
        <v>48</v>
      </c>
      <c r="J1408" t="s">
        <v>10</v>
      </c>
      <c r="K1408" t="s">
        <v>569</v>
      </c>
      <c r="L1408" t="s">
        <v>583</v>
      </c>
    </row>
    <row r="1409" spans="1:12" x14ac:dyDescent="0.3">
      <c r="A1409" t="s">
        <v>154</v>
      </c>
      <c r="B1409">
        <v>351</v>
      </c>
      <c r="C1409">
        <v>-47</v>
      </c>
      <c r="D1409">
        <v>2808</v>
      </c>
      <c r="E1409">
        <f>SUM(Details[[#This Row],[Actual_Cost]],Details[[#This Row],[Profit]])</f>
        <v>2761</v>
      </c>
      <c r="F1409">
        <v>8</v>
      </c>
      <c r="G1409">
        <f>PRODUCT(Details[[#This Row],[Selling_Cost]],Details[[#This Row],[Quantity]])</f>
        <v>22088</v>
      </c>
      <c r="H1409" t="s">
        <v>13</v>
      </c>
      <c r="I1409" t="s">
        <v>14</v>
      </c>
      <c r="J1409" t="s">
        <v>10</v>
      </c>
      <c r="K1409" t="s">
        <v>548</v>
      </c>
      <c r="L1409" t="s">
        <v>624</v>
      </c>
    </row>
    <row r="1410" spans="1:12" x14ac:dyDescent="0.3">
      <c r="A1410" t="s">
        <v>186</v>
      </c>
      <c r="B1410">
        <v>77</v>
      </c>
      <c r="C1410">
        <v>-43</v>
      </c>
      <c r="D1410">
        <v>616</v>
      </c>
      <c r="E1410">
        <f>SUM(Details[[#This Row],[Actual_Cost]],Details[[#This Row],[Profit]])</f>
        <v>573</v>
      </c>
      <c r="F1410">
        <v>8</v>
      </c>
      <c r="G1410">
        <f>PRODUCT(Details[[#This Row],[Selling_Cost]],Details[[#This Row],[Quantity]])</f>
        <v>4584</v>
      </c>
      <c r="H1410" t="s">
        <v>8</v>
      </c>
      <c r="I1410" t="s">
        <v>29</v>
      </c>
      <c r="J1410" t="s">
        <v>10</v>
      </c>
      <c r="K1410" t="s">
        <v>539</v>
      </c>
      <c r="L1410" t="s">
        <v>554</v>
      </c>
    </row>
    <row r="1411" spans="1:12" x14ac:dyDescent="0.3">
      <c r="A1411" t="s">
        <v>350</v>
      </c>
      <c r="B1411">
        <v>229</v>
      </c>
      <c r="C1411">
        <v>-41</v>
      </c>
      <c r="D1411">
        <v>1832</v>
      </c>
      <c r="E1411">
        <f>SUM(Details[[#This Row],[Actual_Cost]],Details[[#This Row],[Profit]])</f>
        <v>1791</v>
      </c>
      <c r="F1411">
        <v>8</v>
      </c>
      <c r="G1411">
        <f>PRODUCT(Details[[#This Row],[Selling_Cost]],Details[[#This Row],[Quantity]])</f>
        <v>14328</v>
      </c>
      <c r="H1411" t="s">
        <v>13</v>
      </c>
      <c r="I1411" t="s">
        <v>55</v>
      </c>
      <c r="J1411" t="s">
        <v>10</v>
      </c>
      <c r="K1411" t="s">
        <v>641</v>
      </c>
      <c r="L1411" t="s">
        <v>583</v>
      </c>
    </row>
    <row r="1412" spans="1:12" x14ac:dyDescent="0.3">
      <c r="A1412" t="s">
        <v>49</v>
      </c>
      <c r="B1412">
        <v>1061</v>
      </c>
      <c r="C1412">
        <v>-36</v>
      </c>
      <c r="D1412">
        <v>8488</v>
      </c>
      <c r="E1412">
        <f>SUM(Details[[#This Row],[Actual_Cost]],Details[[#This Row],[Profit]])</f>
        <v>8452</v>
      </c>
      <c r="F1412">
        <v>8</v>
      </c>
      <c r="G1412">
        <f>PRODUCT(Details[[#This Row],[Selling_Cost]],Details[[#This Row],[Quantity]])</f>
        <v>67616</v>
      </c>
      <c r="H1412" t="s">
        <v>16</v>
      </c>
      <c r="I1412" t="s">
        <v>17</v>
      </c>
      <c r="J1412" t="s">
        <v>125</v>
      </c>
      <c r="K1412" t="s">
        <v>641</v>
      </c>
      <c r="L1412" t="s">
        <v>565</v>
      </c>
    </row>
    <row r="1413" spans="1:12" x14ac:dyDescent="0.3">
      <c r="A1413" t="s">
        <v>210</v>
      </c>
      <c r="B1413">
        <v>105</v>
      </c>
      <c r="C1413">
        <v>-26</v>
      </c>
      <c r="D1413">
        <v>840</v>
      </c>
      <c r="E1413">
        <f>SUM(Details[[#This Row],[Actual_Cost]],Details[[#This Row],[Profit]])</f>
        <v>814</v>
      </c>
      <c r="F1413">
        <v>8</v>
      </c>
      <c r="G1413">
        <f>PRODUCT(Details[[#This Row],[Selling_Cost]],Details[[#This Row],[Quantity]])</f>
        <v>6512</v>
      </c>
      <c r="H1413" t="s">
        <v>8</v>
      </c>
      <c r="I1413" t="s">
        <v>69</v>
      </c>
      <c r="J1413" t="s">
        <v>27</v>
      </c>
      <c r="K1413" t="s">
        <v>569</v>
      </c>
      <c r="L1413" t="s">
        <v>567</v>
      </c>
    </row>
    <row r="1414" spans="1:12" x14ac:dyDescent="0.3">
      <c r="A1414" t="s">
        <v>50</v>
      </c>
      <c r="B1414">
        <v>1300</v>
      </c>
      <c r="C1414">
        <v>-16</v>
      </c>
      <c r="D1414">
        <v>10400</v>
      </c>
      <c r="E1414">
        <f>SUM(Details[[#This Row],[Actual_Cost]],Details[[#This Row],[Profit]])</f>
        <v>10384</v>
      </c>
      <c r="F1414">
        <v>8</v>
      </c>
      <c r="G1414">
        <f>PRODUCT(Details[[#This Row],[Selling_Cost]],Details[[#This Row],[Quantity]])</f>
        <v>83072</v>
      </c>
      <c r="H1414" t="s">
        <v>13</v>
      </c>
      <c r="I1414" t="s">
        <v>20</v>
      </c>
      <c r="J1414" t="s">
        <v>27</v>
      </c>
      <c r="K1414" t="s">
        <v>641</v>
      </c>
      <c r="L1414" t="s">
        <v>585</v>
      </c>
    </row>
    <row r="1415" spans="1:12" x14ac:dyDescent="0.3">
      <c r="A1415" t="s">
        <v>516</v>
      </c>
      <c r="B1415">
        <v>48</v>
      </c>
      <c r="C1415">
        <v>-8</v>
      </c>
      <c r="D1415">
        <v>384</v>
      </c>
      <c r="E1415">
        <f>SUM(Details[[#This Row],[Actual_Cost]],Details[[#This Row],[Profit]])</f>
        <v>376</v>
      </c>
      <c r="F1415">
        <v>8</v>
      </c>
      <c r="G1415">
        <f>PRODUCT(Details[[#This Row],[Selling_Cost]],Details[[#This Row],[Quantity]])</f>
        <v>3008</v>
      </c>
      <c r="H1415" t="s">
        <v>8</v>
      </c>
      <c r="I1415" t="s">
        <v>29</v>
      </c>
      <c r="J1415" t="s">
        <v>10</v>
      </c>
      <c r="K1415" t="s">
        <v>581</v>
      </c>
      <c r="L1415" t="s">
        <v>614</v>
      </c>
    </row>
    <row r="1416" spans="1:12" x14ac:dyDescent="0.3">
      <c r="A1416" t="s">
        <v>152</v>
      </c>
      <c r="B1416">
        <v>119</v>
      </c>
      <c r="C1416">
        <v>-5</v>
      </c>
      <c r="D1416">
        <v>952</v>
      </c>
      <c r="E1416">
        <f>SUM(Details[[#This Row],[Actual_Cost]],Details[[#This Row],[Profit]])</f>
        <v>947</v>
      </c>
      <c r="F1416">
        <v>8</v>
      </c>
      <c r="G1416">
        <f>PRODUCT(Details[[#This Row],[Selling_Cost]],Details[[#This Row],[Quantity]])</f>
        <v>7576</v>
      </c>
      <c r="H1416" t="s">
        <v>8</v>
      </c>
      <c r="I1416" t="s">
        <v>9</v>
      </c>
      <c r="J1416" t="s">
        <v>27</v>
      </c>
      <c r="K1416" t="s">
        <v>548</v>
      </c>
      <c r="L1416" t="s">
        <v>565</v>
      </c>
    </row>
    <row r="1417" spans="1:12" x14ac:dyDescent="0.3">
      <c r="A1417" t="s">
        <v>222</v>
      </c>
      <c r="B1417">
        <v>71</v>
      </c>
      <c r="C1417">
        <v>0</v>
      </c>
      <c r="D1417">
        <v>568</v>
      </c>
      <c r="E1417">
        <f>SUM(Details[[#This Row],[Actual_Cost]],Details[[#This Row],[Profit]])</f>
        <v>568</v>
      </c>
      <c r="F1417">
        <v>8</v>
      </c>
      <c r="G1417">
        <f>PRODUCT(Details[[#This Row],[Selling_Cost]],Details[[#This Row],[Quantity]])</f>
        <v>4544</v>
      </c>
      <c r="H1417" t="s">
        <v>8</v>
      </c>
      <c r="I1417" t="s">
        <v>58</v>
      </c>
      <c r="J1417" t="s">
        <v>10</v>
      </c>
      <c r="K1417" t="s">
        <v>581</v>
      </c>
      <c r="L1417" t="s">
        <v>563</v>
      </c>
    </row>
    <row r="1418" spans="1:12" x14ac:dyDescent="0.3">
      <c r="A1418" t="s">
        <v>135</v>
      </c>
      <c r="B1418">
        <v>180</v>
      </c>
      <c r="C1418">
        <v>0</v>
      </c>
      <c r="D1418">
        <v>1440</v>
      </c>
      <c r="E1418">
        <f>SUM(Details[[#This Row],[Actual_Cost]],Details[[#This Row],[Profit]])</f>
        <v>1440</v>
      </c>
      <c r="F1418">
        <v>8</v>
      </c>
      <c r="G1418">
        <f>PRODUCT(Details[[#This Row],[Selling_Cost]],Details[[#This Row],[Quantity]])</f>
        <v>11520</v>
      </c>
      <c r="H1418" t="s">
        <v>8</v>
      </c>
      <c r="I1418" t="s">
        <v>29</v>
      </c>
      <c r="J1418" t="s">
        <v>10</v>
      </c>
      <c r="K1418" t="s">
        <v>581</v>
      </c>
      <c r="L1418" t="s">
        <v>541</v>
      </c>
    </row>
    <row r="1419" spans="1:12" x14ac:dyDescent="0.3">
      <c r="A1419" t="s">
        <v>517</v>
      </c>
      <c r="B1419">
        <v>32</v>
      </c>
      <c r="C1419">
        <v>3</v>
      </c>
      <c r="D1419">
        <v>256</v>
      </c>
      <c r="E1419">
        <f>SUM(Details[[#This Row],[Actual_Cost]],Details[[#This Row],[Profit]])</f>
        <v>259</v>
      </c>
      <c r="F1419">
        <v>8</v>
      </c>
      <c r="G1419">
        <f>PRODUCT(Details[[#This Row],[Selling_Cost]],Details[[#This Row],[Quantity]])</f>
        <v>2072</v>
      </c>
      <c r="H1419" t="s">
        <v>8</v>
      </c>
      <c r="I1419" t="s">
        <v>48</v>
      </c>
      <c r="J1419" t="s">
        <v>10</v>
      </c>
      <c r="K1419" t="s">
        <v>548</v>
      </c>
      <c r="L1419" t="s">
        <v>541</v>
      </c>
    </row>
    <row r="1420" spans="1:12" x14ac:dyDescent="0.3">
      <c r="A1420" t="s">
        <v>196</v>
      </c>
      <c r="B1420">
        <v>191</v>
      </c>
      <c r="C1420">
        <v>13</v>
      </c>
      <c r="D1420">
        <v>1528</v>
      </c>
      <c r="E1420">
        <f>SUM(Details[[#This Row],[Actual_Cost]],Details[[#This Row],[Profit]])</f>
        <v>1541</v>
      </c>
      <c r="F1420">
        <v>8</v>
      </c>
      <c r="G1420">
        <f>PRODUCT(Details[[#This Row],[Selling_Cost]],Details[[#This Row],[Quantity]])</f>
        <v>12328</v>
      </c>
      <c r="H1420" t="s">
        <v>16</v>
      </c>
      <c r="I1420" t="s">
        <v>32</v>
      </c>
      <c r="J1420" t="s">
        <v>10</v>
      </c>
      <c r="K1420" t="s">
        <v>552</v>
      </c>
      <c r="L1420" t="s">
        <v>614</v>
      </c>
    </row>
    <row r="1421" spans="1:12" x14ac:dyDescent="0.3">
      <c r="A1421" t="s">
        <v>102</v>
      </c>
      <c r="B1421">
        <v>211</v>
      </c>
      <c r="C1421">
        <v>19</v>
      </c>
      <c r="D1421">
        <v>1688</v>
      </c>
      <c r="E1421">
        <f>SUM(Details[[#This Row],[Actual_Cost]],Details[[#This Row],[Profit]])</f>
        <v>1707</v>
      </c>
      <c r="F1421">
        <v>8</v>
      </c>
      <c r="G1421">
        <f>PRODUCT(Details[[#This Row],[Selling_Cost]],Details[[#This Row],[Quantity]])</f>
        <v>13656</v>
      </c>
      <c r="H1421" t="s">
        <v>8</v>
      </c>
      <c r="I1421" t="s">
        <v>29</v>
      </c>
      <c r="J1421" t="s">
        <v>10</v>
      </c>
      <c r="K1421" t="s">
        <v>552</v>
      </c>
      <c r="L1421" t="s">
        <v>554</v>
      </c>
    </row>
    <row r="1422" spans="1:12" x14ac:dyDescent="0.3">
      <c r="A1422" t="s">
        <v>307</v>
      </c>
      <c r="B1422">
        <v>324</v>
      </c>
      <c r="C1422">
        <v>39</v>
      </c>
      <c r="D1422">
        <v>2592</v>
      </c>
      <c r="E1422">
        <f>SUM(Details[[#This Row],[Actual_Cost]],Details[[#This Row],[Profit]])</f>
        <v>2631</v>
      </c>
      <c r="F1422">
        <v>8</v>
      </c>
      <c r="G1422">
        <f>PRODUCT(Details[[#This Row],[Selling_Cost]],Details[[#This Row],[Quantity]])</f>
        <v>21048</v>
      </c>
      <c r="H1422" t="s">
        <v>13</v>
      </c>
      <c r="I1422" t="s">
        <v>55</v>
      </c>
      <c r="J1422" t="s">
        <v>27</v>
      </c>
      <c r="K1422" t="s">
        <v>552</v>
      </c>
      <c r="L1422" t="s">
        <v>567</v>
      </c>
    </row>
    <row r="1423" spans="1:12" x14ac:dyDescent="0.3">
      <c r="A1423" t="s">
        <v>212</v>
      </c>
      <c r="B1423">
        <v>190</v>
      </c>
      <c r="C1423">
        <v>68</v>
      </c>
      <c r="D1423">
        <v>1520</v>
      </c>
      <c r="E1423">
        <f>SUM(Details[[#This Row],[Actual_Cost]],Details[[#This Row],[Profit]])</f>
        <v>1588</v>
      </c>
      <c r="F1423">
        <v>8</v>
      </c>
      <c r="G1423">
        <f>PRODUCT(Details[[#This Row],[Selling_Cost]],Details[[#This Row],[Quantity]])</f>
        <v>12704</v>
      </c>
      <c r="H1423" t="s">
        <v>8</v>
      </c>
      <c r="I1423" t="s">
        <v>46</v>
      </c>
      <c r="J1423" t="s">
        <v>27</v>
      </c>
      <c r="K1423" t="s">
        <v>548</v>
      </c>
      <c r="L1423" t="s">
        <v>550</v>
      </c>
    </row>
    <row r="1424" spans="1:12" x14ac:dyDescent="0.3">
      <c r="A1424" t="s">
        <v>35</v>
      </c>
      <c r="B1424">
        <v>352</v>
      </c>
      <c r="C1424">
        <v>74</v>
      </c>
      <c r="D1424">
        <v>2816</v>
      </c>
      <c r="E1424">
        <f>SUM(Details[[#This Row],[Actual_Cost]],Details[[#This Row],[Profit]])</f>
        <v>2890</v>
      </c>
      <c r="F1424">
        <v>8</v>
      </c>
      <c r="G1424">
        <f>PRODUCT(Details[[#This Row],[Selling_Cost]],Details[[#This Row],[Quantity]])</f>
        <v>23120</v>
      </c>
      <c r="H1424" t="s">
        <v>8</v>
      </c>
      <c r="I1424" t="s">
        <v>29</v>
      </c>
      <c r="J1424" t="s">
        <v>42</v>
      </c>
      <c r="K1424" t="s">
        <v>543</v>
      </c>
      <c r="L1424" t="s">
        <v>544</v>
      </c>
    </row>
    <row r="1425" spans="1:12" x14ac:dyDescent="0.3">
      <c r="A1425" t="s">
        <v>194</v>
      </c>
      <c r="B1425">
        <v>455</v>
      </c>
      <c r="C1425">
        <v>77</v>
      </c>
      <c r="D1425">
        <v>3640</v>
      </c>
      <c r="E1425">
        <f>SUM(Details[[#This Row],[Actual_Cost]],Details[[#This Row],[Profit]])</f>
        <v>3717</v>
      </c>
      <c r="F1425">
        <v>8</v>
      </c>
      <c r="G1425">
        <f>PRODUCT(Details[[#This Row],[Selling_Cost]],Details[[#This Row],[Quantity]])</f>
        <v>29736</v>
      </c>
      <c r="H1425" t="s">
        <v>13</v>
      </c>
      <c r="I1425" t="s">
        <v>55</v>
      </c>
      <c r="J1425" t="s">
        <v>10</v>
      </c>
      <c r="K1425" t="s">
        <v>552</v>
      </c>
      <c r="L1425" t="s">
        <v>550</v>
      </c>
    </row>
    <row r="1426" spans="1:12" x14ac:dyDescent="0.3">
      <c r="A1426" t="s">
        <v>518</v>
      </c>
      <c r="B1426">
        <v>353</v>
      </c>
      <c r="C1426">
        <v>90</v>
      </c>
      <c r="D1426">
        <v>2824</v>
      </c>
      <c r="E1426">
        <f>SUM(Details[[#This Row],[Actual_Cost]],Details[[#This Row],[Profit]])</f>
        <v>2914</v>
      </c>
      <c r="F1426">
        <v>8</v>
      </c>
      <c r="G1426">
        <f>PRODUCT(Details[[#This Row],[Selling_Cost]],Details[[#This Row],[Quantity]])</f>
        <v>23312</v>
      </c>
      <c r="H1426" t="s">
        <v>8</v>
      </c>
      <c r="I1426" t="s">
        <v>9</v>
      </c>
      <c r="J1426" t="s">
        <v>10</v>
      </c>
      <c r="K1426" t="s">
        <v>569</v>
      </c>
      <c r="L1426" t="s">
        <v>565</v>
      </c>
    </row>
    <row r="1427" spans="1:12" x14ac:dyDescent="0.3">
      <c r="A1427" t="s">
        <v>332</v>
      </c>
      <c r="B1427">
        <v>880</v>
      </c>
      <c r="C1427">
        <v>97</v>
      </c>
      <c r="D1427">
        <v>7040</v>
      </c>
      <c r="E1427">
        <f>SUM(Details[[#This Row],[Actual_Cost]],Details[[#This Row],[Profit]])</f>
        <v>7137</v>
      </c>
      <c r="F1427">
        <v>8</v>
      </c>
      <c r="G1427">
        <f>PRODUCT(Details[[#This Row],[Selling_Cost]],Details[[#This Row],[Quantity]])</f>
        <v>57096</v>
      </c>
      <c r="H1427" t="s">
        <v>16</v>
      </c>
      <c r="I1427" t="s">
        <v>32</v>
      </c>
      <c r="J1427" t="s">
        <v>42</v>
      </c>
      <c r="K1427" t="s">
        <v>548</v>
      </c>
      <c r="L1427" t="s">
        <v>565</v>
      </c>
    </row>
    <row r="1428" spans="1:12" x14ac:dyDescent="0.3">
      <c r="A1428" t="s">
        <v>131</v>
      </c>
      <c r="B1428">
        <v>227</v>
      </c>
      <c r="C1428">
        <v>102</v>
      </c>
      <c r="D1428">
        <v>1816</v>
      </c>
      <c r="E1428">
        <f>SUM(Details[[#This Row],[Actual_Cost]],Details[[#This Row],[Profit]])</f>
        <v>1918</v>
      </c>
      <c r="F1428">
        <v>8</v>
      </c>
      <c r="G1428">
        <f>PRODUCT(Details[[#This Row],[Selling_Cost]],Details[[#This Row],[Quantity]])</f>
        <v>15344</v>
      </c>
      <c r="H1428" t="s">
        <v>13</v>
      </c>
      <c r="I1428" t="s">
        <v>55</v>
      </c>
      <c r="J1428" t="s">
        <v>42</v>
      </c>
      <c r="K1428" t="s">
        <v>596</v>
      </c>
      <c r="L1428" t="s">
        <v>624</v>
      </c>
    </row>
    <row r="1429" spans="1:12" x14ac:dyDescent="0.3">
      <c r="A1429" t="s">
        <v>298</v>
      </c>
      <c r="B1429">
        <v>398</v>
      </c>
      <c r="C1429">
        <v>111</v>
      </c>
      <c r="D1429">
        <v>3184</v>
      </c>
      <c r="E1429">
        <f>SUM(Details[[#This Row],[Actual_Cost]],Details[[#This Row],[Profit]])</f>
        <v>3295</v>
      </c>
      <c r="F1429">
        <v>8</v>
      </c>
      <c r="G1429">
        <f>PRODUCT(Details[[#This Row],[Selling_Cost]],Details[[#This Row],[Quantity]])</f>
        <v>26360</v>
      </c>
      <c r="H1429" t="s">
        <v>8</v>
      </c>
      <c r="I1429" t="s">
        <v>48</v>
      </c>
      <c r="J1429" t="s">
        <v>10</v>
      </c>
      <c r="K1429" t="s">
        <v>539</v>
      </c>
      <c r="L1429" t="s">
        <v>546</v>
      </c>
    </row>
    <row r="1430" spans="1:12" x14ac:dyDescent="0.3">
      <c r="A1430" t="s">
        <v>519</v>
      </c>
      <c r="B1430">
        <v>391</v>
      </c>
      <c r="C1430">
        <v>113</v>
      </c>
      <c r="D1430">
        <v>3128</v>
      </c>
      <c r="E1430">
        <f>SUM(Details[[#This Row],[Actual_Cost]],Details[[#This Row],[Profit]])</f>
        <v>3241</v>
      </c>
      <c r="F1430">
        <v>8</v>
      </c>
      <c r="G1430">
        <f>PRODUCT(Details[[#This Row],[Selling_Cost]],Details[[#This Row],[Quantity]])</f>
        <v>25928</v>
      </c>
      <c r="H1430" t="s">
        <v>8</v>
      </c>
      <c r="I1430" t="s">
        <v>29</v>
      </c>
      <c r="J1430" t="s">
        <v>10</v>
      </c>
      <c r="K1430" t="s">
        <v>561</v>
      </c>
      <c r="L1430" t="s">
        <v>563</v>
      </c>
    </row>
    <row r="1431" spans="1:12" x14ac:dyDescent="0.3">
      <c r="A1431" t="s">
        <v>233</v>
      </c>
      <c r="B1431">
        <v>2927</v>
      </c>
      <c r="C1431">
        <v>146</v>
      </c>
      <c r="D1431">
        <v>23416</v>
      </c>
      <c r="E1431">
        <f>SUM(Details[[#This Row],[Actual_Cost]],Details[[#This Row],[Profit]])</f>
        <v>23562</v>
      </c>
      <c r="F1431">
        <v>8</v>
      </c>
      <c r="G1431">
        <f>PRODUCT(Details[[#This Row],[Selling_Cost]],Details[[#This Row],[Quantity]])</f>
        <v>188496</v>
      </c>
      <c r="H1431" t="s">
        <v>16</v>
      </c>
      <c r="I1431" t="s">
        <v>17</v>
      </c>
      <c r="J1431" t="s">
        <v>125</v>
      </c>
      <c r="K1431" t="s">
        <v>548</v>
      </c>
      <c r="L1431" t="s">
        <v>546</v>
      </c>
    </row>
    <row r="1432" spans="1:12" x14ac:dyDescent="0.3">
      <c r="A1432" t="s">
        <v>341</v>
      </c>
      <c r="B1432">
        <v>1030</v>
      </c>
      <c r="C1432">
        <v>206</v>
      </c>
      <c r="D1432">
        <v>8240</v>
      </c>
      <c r="E1432">
        <f>SUM(Details[[#This Row],[Actual_Cost]],Details[[#This Row],[Profit]])</f>
        <v>8446</v>
      </c>
      <c r="F1432">
        <v>8</v>
      </c>
      <c r="G1432">
        <f>PRODUCT(Details[[#This Row],[Selling_Cost]],Details[[#This Row],[Quantity]])</f>
        <v>67568</v>
      </c>
      <c r="H1432" t="s">
        <v>13</v>
      </c>
      <c r="I1432" t="s">
        <v>20</v>
      </c>
      <c r="J1432" t="s">
        <v>18</v>
      </c>
      <c r="K1432" t="s">
        <v>605</v>
      </c>
      <c r="L1432" t="s">
        <v>624</v>
      </c>
    </row>
    <row r="1433" spans="1:12" x14ac:dyDescent="0.3">
      <c r="A1433" t="s">
        <v>232</v>
      </c>
      <c r="B1433">
        <v>637</v>
      </c>
      <c r="C1433">
        <v>212</v>
      </c>
      <c r="D1433">
        <v>5096</v>
      </c>
      <c r="E1433">
        <f>SUM(Details[[#This Row],[Actual_Cost]],Details[[#This Row],[Profit]])</f>
        <v>5308</v>
      </c>
      <c r="F1433">
        <v>8</v>
      </c>
      <c r="G1433">
        <f>PRODUCT(Details[[#This Row],[Selling_Cost]],Details[[#This Row],[Quantity]])</f>
        <v>42464</v>
      </c>
      <c r="H1433" t="s">
        <v>13</v>
      </c>
      <c r="I1433" t="s">
        <v>14</v>
      </c>
      <c r="J1433" t="s">
        <v>42</v>
      </c>
      <c r="K1433" t="s">
        <v>552</v>
      </c>
      <c r="L1433" t="s">
        <v>546</v>
      </c>
    </row>
    <row r="1434" spans="1:12" x14ac:dyDescent="0.3">
      <c r="A1434" t="s">
        <v>131</v>
      </c>
      <c r="B1434">
        <v>1327</v>
      </c>
      <c r="C1434">
        <v>318</v>
      </c>
      <c r="D1434">
        <v>10616</v>
      </c>
      <c r="E1434">
        <f>SUM(Details[[#This Row],[Actual_Cost]],Details[[#This Row],[Profit]])</f>
        <v>10934</v>
      </c>
      <c r="F1434">
        <v>8</v>
      </c>
      <c r="G1434">
        <f>PRODUCT(Details[[#This Row],[Selling_Cost]],Details[[#This Row],[Quantity]])</f>
        <v>87472</v>
      </c>
      <c r="H1434" t="s">
        <v>16</v>
      </c>
      <c r="I1434" t="s">
        <v>23</v>
      </c>
      <c r="J1434" t="s">
        <v>125</v>
      </c>
      <c r="K1434" t="s">
        <v>596</v>
      </c>
      <c r="L1434" t="s">
        <v>624</v>
      </c>
    </row>
    <row r="1435" spans="1:12" x14ac:dyDescent="0.3">
      <c r="A1435" t="s">
        <v>112</v>
      </c>
      <c r="B1435">
        <v>2103</v>
      </c>
      <c r="C1435">
        <v>322</v>
      </c>
      <c r="D1435">
        <v>16824</v>
      </c>
      <c r="E1435">
        <f>SUM(Details[[#This Row],[Actual_Cost]],Details[[#This Row],[Profit]])</f>
        <v>17146</v>
      </c>
      <c r="F1435">
        <v>8</v>
      </c>
      <c r="G1435">
        <f>PRODUCT(Details[[#This Row],[Selling_Cost]],Details[[#This Row],[Quantity]])</f>
        <v>137168</v>
      </c>
      <c r="H1435" t="s">
        <v>13</v>
      </c>
      <c r="I1435" t="s">
        <v>34</v>
      </c>
      <c r="J1435" t="s">
        <v>18</v>
      </c>
      <c r="K1435" t="s">
        <v>548</v>
      </c>
      <c r="L1435" t="s">
        <v>563</v>
      </c>
    </row>
    <row r="1436" spans="1:12" x14ac:dyDescent="0.3">
      <c r="A1436" t="s">
        <v>520</v>
      </c>
      <c r="B1436">
        <v>1543</v>
      </c>
      <c r="C1436">
        <v>370</v>
      </c>
      <c r="D1436">
        <v>12344</v>
      </c>
      <c r="E1436">
        <f>SUM(Details[[#This Row],[Actual_Cost]],Details[[#This Row],[Profit]])</f>
        <v>12714</v>
      </c>
      <c r="F1436">
        <v>8</v>
      </c>
      <c r="G1436">
        <f>PRODUCT(Details[[#This Row],[Selling_Cost]],Details[[#This Row],[Quantity]])</f>
        <v>101712</v>
      </c>
      <c r="H1436" t="s">
        <v>13</v>
      </c>
      <c r="I1436" t="s">
        <v>20</v>
      </c>
      <c r="J1436" t="s">
        <v>27</v>
      </c>
      <c r="K1436" t="s">
        <v>548</v>
      </c>
      <c r="L1436" t="s">
        <v>567</v>
      </c>
    </row>
    <row r="1437" spans="1:12" x14ac:dyDescent="0.3">
      <c r="A1437" t="s">
        <v>64</v>
      </c>
      <c r="B1437">
        <v>516</v>
      </c>
      <c r="C1437">
        <v>392</v>
      </c>
      <c r="D1437">
        <v>4128</v>
      </c>
      <c r="E1437">
        <f>SUM(Details[[#This Row],[Actual_Cost]],Details[[#This Row],[Profit]])</f>
        <v>4520</v>
      </c>
      <c r="F1437">
        <v>8</v>
      </c>
      <c r="G1437">
        <f>PRODUCT(Details[[#This Row],[Selling_Cost]],Details[[#This Row],[Quantity]])</f>
        <v>36160</v>
      </c>
      <c r="H1437" t="s">
        <v>16</v>
      </c>
      <c r="I1437" t="s">
        <v>23</v>
      </c>
      <c r="J1437" t="s">
        <v>10</v>
      </c>
      <c r="K1437" t="s">
        <v>626</v>
      </c>
      <c r="L1437" t="s">
        <v>585</v>
      </c>
    </row>
    <row r="1438" spans="1:12" x14ac:dyDescent="0.3">
      <c r="A1438" t="s">
        <v>139</v>
      </c>
      <c r="B1438">
        <v>1027</v>
      </c>
      <c r="C1438">
        <v>441</v>
      </c>
      <c r="D1438">
        <v>8216</v>
      </c>
      <c r="E1438">
        <f>SUM(Details[[#This Row],[Actual_Cost]],Details[[#This Row],[Profit]])</f>
        <v>8657</v>
      </c>
      <c r="F1438">
        <v>8</v>
      </c>
      <c r="G1438">
        <f>PRODUCT(Details[[#This Row],[Selling_Cost]],Details[[#This Row],[Quantity]])</f>
        <v>69256</v>
      </c>
      <c r="H1438" t="s">
        <v>8</v>
      </c>
      <c r="I1438" t="s">
        <v>9</v>
      </c>
      <c r="J1438" t="s">
        <v>10</v>
      </c>
      <c r="K1438" t="s">
        <v>552</v>
      </c>
      <c r="L1438" t="s">
        <v>567</v>
      </c>
    </row>
    <row r="1439" spans="1:12" x14ac:dyDescent="0.3">
      <c r="A1439" t="s">
        <v>70</v>
      </c>
      <c r="B1439">
        <v>2847</v>
      </c>
      <c r="C1439">
        <v>712</v>
      </c>
      <c r="D1439">
        <v>22776</v>
      </c>
      <c r="E1439">
        <f>SUM(Details[[#This Row],[Actual_Cost]],Details[[#This Row],[Profit]])</f>
        <v>23488</v>
      </c>
      <c r="F1439">
        <v>8</v>
      </c>
      <c r="G1439">
        <f>PRODUCT(Details[[#This Row],[Selling_Cost]],Details[[#This Row],[Quantity]])</f>
        <v>187904</v>
      </c>
      <c r="H1439" t="s">
        <v>13</v>
      </c>
      <c r="I1439" t="s">
        <v>20</v>
      </c>
      <c r="J1439" t="s">
        <v>27</v>
      </c>
      <c r="K1439" t="s">
        <v>548</v>
      </c>
      <c r="L1439" t="s">
        <v>541</v>
      </c>
    </row>
    <row r="1440" spans="1:12" x14ac:dyDescent="0.3">
      <c r="A1440" t="s">
        <v>521</v>
      </c>
      <c r="B1440">
        <v>1824</v>
      </c>
      <c r="C1440">
        <v>1303</v>
      </c>
      <c r="D1440">
        <v>14592</v>
      </c>
      <c r="E1440">
        <f>SUM(Details[[#This Row],[Actual_Cost]],Details[[#This Row],[Profit]])</f>
        <v>15895</v>
      </c>
      <c r="F1440">
        <v>8</v>
      </c>
      <c r="G1440">
        <f>PRODUCT(Details[[#This Row],[Selling_Cost]],Details[[#This Row],[Quantity]])</f>
        <v>127160</v>
      </c>
      <c r="H1440" t="s">
        <v>13</v>
      </c>
      <c r="I1440" t="s">
        <v>14</v>
      </c>
      <c r="J1440" t="s">
        <v>27</v>
      </c>
      <c r="K1440" t="s">
        <v>587</v>
      </c>
      <c r="L1440" t="s">
        <v>544</v>
      </c>
    </row>
    <row r="1441" spans="1:12" x14ac:dyDescent="0.3">
      <c r="A1441" t="s">
        <v>155</v>
      </c>
      <c r="B1441">
        <v>413</v>
      </c>
      <c r="C1441">
        <v>-314</v>
      </c>
      <c r="D1441">
        <v>3717</v>
      </c>
      <c r="E1441">
        <f>SUM(Details[[#This Row],[Actual_Cost]],Details[[#This Row],[Profit]])</f>
        <v>3403</v>
      </c>
      <c r="F1441">
        <v>9</v>
      </c>
      <c r="G1441">
        <f>PRODUCT(Details[[#This Row],[Selling_Cost]],Details[[#This Row],[Quantity]])</f>
        <v>30627</v>
      </c>
      <c r="H1441" t="s">
        <v>16</v>
      </c>
      <c r="I1441" t="s">
        <v>23</v>
      </c>
      <c r="J1441" t="s">
        <v>10</v>
      </c>
      <c r="K1441" t="s">
        <v>552</v>
      </c>
      <c r="L1441" t="s">
        <v>583</v>
      </c>
    </row>
    <row r="1442" spans="1:12" x14ac:dyDescent="0.3">
      <c r="A1442" t="s">
        <v>181</v>
      </c>
      <c r="B1442">
        <v>231</v>
      </c>
      <c r="C1442">
        <v>-190</v>
      </c>
      <c r="D1442">
        <v>2079</v>
      </c>
      <c r="E1442">
        <f>SUM(Details[[#This Row],[Actual_Cost]],Details[[#This Row],[Profit]])</f>
        <v>1889</v>
      </c>
      <c r="F1442">
        <v>9</v>
      </c>
      <c r="G1442">
        <f>PRODUCT(Details[[#This Row],[Selling_Cost]],Details[[#This Row],[Quantity]])</f>
        <v>17001</v>
      </c>
      <c r="H1442" t="s">
        <v>8</v>
      </c>
      <c r="I1442" t="s">
        <v>48</v>
      </c>
      <c r="J1442" t="s">
        <v>10</v>
      </c>
      <c r="K1442" t="s">
        <v>552</v>
      </c>
      <c r="L1442" t="s">
        <v>585</v>
      </c>
    </row>
    <row r="1443" spans="1:12" x14ac:dyDescent="0.3">
      <c r="A1443" t="s">
        <v>522</v>
      </c>
      <c r="B1443">
        <v>79</v>
      </c>
      <c r="C1443">
        <v>-124</v>
      </c>
      <c r="D1443">
        <v>711</v>
      </c>
      <c r="E1443">
        <f>SUM(Details[[#This Row],[Actual_Cost]],Details[[#This Row],[Profit]])</f>
        <v>587</v>
      </c>
      <c r="F1443">
        <v>9</v>
      </c>
      <c r="G1443">
        <f>PRODUCT(Details[[#This Row],[Selling_Cost]],Details[[#This Row],[Quantity]])</f>
        <v>5283</v>
      </c>
      <c r="H1443" t="s">
        <v>8</v>
      </c>
      <c r="I1443" t="s">
        <v>58</v>
      </c>
      <c r="J1443" t="s">
        <v>10</v>
      </c>
      <c r="K1443" t="s">
        <v>543</v>
      </c>
      <c r="L1443" t="s">
        <v>546</v>
      </c>
    </row>
    <row r="1444" spans="1:12" x14ac:dyDescent="0.3">
      <c r="A1444" t="s">
        <v>94</v>
      </c>
      <c r="B1444">
        <v>473</v>
      </c>
      <c r="C1444">
        <v>-113</v>
      </c>
      <c r="D1444">
        <v>4257</v>
      </c>
      <c r="E1444">
        <f>SUM(Details[[#This Row],[Actual_Cost]],Details[[#This Row],[Profit]])</f>
        <v>4144</v>
      </c>
      <c r="F1444">
        <v>9</v>
      </c>
      <c r="G1444">
        <f>PRODUCT(Details[[#This Row],[Selling_Cost]],Details[[#This Row],[Quantity]])</f>
        <v>37296</v>
      </c>
      <c r="H1444" t="s">
        <v>8</v>
      </c>
      <c r="I1444" t="s">
        <v>48</v>
      </c>
      <c r="J1444" t="s">
        <v>18</v>
      </c>
      <c r="K1444" t="s">
        <v>561</v>
      </c>
      <c r="L1444" t="s">
        <v>567</v>
      </c>
    </row>
    <row r="1445" spans="1:12" x14ac:dyDescent="0.3">
      <c r="A1445" t="s">
        <v>523</v>
      </c>
      <c r="B1445">
        <v>929</v>
      </c>
      <c r="C1445">
        <v>-93</v>
      </c>
      <c r="D1445">
        <v>8361</v>
      </c>
      <c r="E1445">
        <f>SUM(Details[[#This Row],[Actual_Cost]],Details[[#This Row],[Profit]])</f>
        <v>8268</v>
      </c>
      <c r="F1445">
        <v>9</v>
      </c>
      <c r="G1445">
        <f>PRODUCT(Details[[#This Row],[Selling_Cost]],Details[[#This Row],[Quantity]])</f>
        <v>74412</v>
      </c>
      <c r="H1445" t="s">
        <v>8</v>
      </c>
      <c r="I1445" t="s">
        <v>9</v>
      </c>
      <c r="J1445" t="s">
        <v>10</v>
      </c>
      <c r="K1445" t="s">
        <v>552</v>
      </c>
      <c r="L1445" t="s">
        <v>624</v>
      </c>
    </row>
    <row r="1446" spans="1:12" x14ac:dyDescent="0.3">
      <c r="A1446" t="s">
        <v>76</v>
      </c>
      <c r="B1446">
        <v>67</v>
      </c>
      <c r="C1446">
        <v>-86</v>
      </c>
      <c r="D1446">
        <v>603</v>
      </c>
      <c r="E1446">
        <f>SUM(Details[[#This Row],[Actual_Cost]],Details[[#This Row],[Profit]])</f>
        <v>517</v>
      </c>
      <c r="F1446">
        <v>9</v>
      </c>
      <c r="G1446">
        <f>PRODUCT(Details[[#This Row],[Selling_Cost]],Details[[#This Row],[Quantity]])</f>
        <v>4653</v>
      </c>
      <c r="H1446" t="s">
        <v>16</v>
      </c>
      <c r="I1446" t="s">
        <v>32</v>
      </c>
      <c r="J1446" t="s">
        <v>10</v>
      </c>
      <c r="K1446" t="s">
        <v>539</v>
      </c>
      <c r="L1446" t="s">
        <v>583</v>
      </c>
    </row>
    <row r="1447" spans="1:12" x14ac:dyDescent="0.3">
      <c r="A1447" t="s">
        <v>12</v>
      </c>
      <c r="B1447">
        <v>76</v>
      </c>
      <c r="C1447">
        <v>-72</v>
      </c>
      <c r="D1447">
        <v>684</v>
      </c>
      <c r="E1447">
        <f>SUM(Details[[#This Row],[Actual_Cost]],Details[[#This Row],[Profit]])</f>
        <v>612</v>
      </c>
      <c r="F1447">
        <v>9</v>
      </c>
      <c r="G1447">
        <f>PRODUCT(Details[[#This Row],[Selling_Cost]],Details[[#This Row],[Quantity]])</f>
        <v>5508</v>
      </c>
      <c r="H1447" t="s">
        <v>8</v>
      </c>
      <c r="I1447" t="s">
        <v>48</v>
      </c>
      <c r="J1447" t="s">
        <v>10</v>
      </c>
      <c r="K1447" t="s">
        <v>552</v>
      </c>
      <c r="L1447" t="s">
        <v>585</v>
      </c>
    </row>
    <row r="1448" spans="1:12" x14ac:dyDescent="0.3">
      <c r="A1448" t="s">
        <v>356</v>
      </c>
      <c r="B1448">
        <v>122</v>
      </c>
      <c r="C1448">
        <v>-66</v>
      </c>
      <c r="D1448">
        <v>1098</v>
      </c>
      <c r="E1448">
        <f>SUM(Details[[#This Row],[Actual_Cost]],Details[[#This Row],[Profit]])</f>
        <v>1032</v>
      </c>
      <c r="F1448">
        <v>9</v>
      </c>
      <c r="G1448">
        <f>PRODUCT(Details[[#This Row],[Selling_Cost]],Details[[#This Row],[Quantity]])</f>
        <v>9288</v>
      </c>
      <c r="H1448" t="s">
        <v>13</v>
      </c>
      <c r="I1448" t="s">
        <v>55</v>
      </c>
      <c r="J1448" t="s">
        <v>10</v>
      </c>
      <c r="K1448" t="s">
        <v>548</v>
      </c>
      <c r="L1448" t="s">
        <v>563</v>
      </c>
    </row>
    <row r="1449" spans="1:12" x14ac:dyDescent="0.3">
      <c r="A1449" t="s">
        <v>379</v>
      </c>
      <c r="B1449">
        <v>87</v>
      </c>
      <c r="C1449">
        <v>-32</v>
      </c>
      <c r="D1449">
        <v>783</v>
      </c>
      <c r="E1449">
        <f>SUM(Details[[#This Row],[Actual_Cost]],Details[[#This Row],[Profit]])</f>
        <v>751</v>
      </c>
      <c r="F1449">
        <v>9</v>
      </c>
      <c r="G1449">
        <f>PRODUCT(Details[[#This Row],[Selling_Cost]],Details[[#This Row],[Quantity]])</f>
        <v>6759</v>
      </c>
      <c r="H1449" t="s">
        <v>8</v>
      </c>
      <c r="I1449" t="s">
        <v>58</v>
      </c>
      <c r="J1449" t="s">
        <v>10</v>
      </c>
      <c r="K1449" t="s">
        <v>552</v>
      </c>
      <c r="L1449" t="s">
        <v>546</v>
      </c>
    </row>
    <row r="1450" spans="1:12" x14ac:dyDescent="0.3">
      <c r="A1450" t="s">
        <v>7</v>
      </c>
      <c r="B1450">
        <v>263</v>
      </c>
      <c r="C1450">
        <v>-31</v>
      </c>
      <c r="D1450">
        <v>2367</v>
      </c>
      <c r="E1450">
        <f>SUM(Details[[#This Row],[Actual_Cost]],Details[[#This Row],[Profit]])</f>
        <v>2336</v>
      </c>
      <c r="F1450">
        <v>9</v>
      </c>
      <c r="G1450">
        <f>PRODUCT(Details[[#This Row],[Selling_Cost]],Details[[#This Row],[Quantity]])</f>
        <v>21024</v>
      </c>
      <c r="H1450" t="s">
        <v>13</v>
      </c>
      <c r="I1450" t="s">
        <v>34</v>
      </c>
      <c r="J1450" t="s">
        <v>42</v>
      </c>
      <c r="K1450" t="s">
        <v>539</v>
      </c>
      <c r="L1450" t="s">
        <v>554</v>
      </c>
    </row>
    <row r="1451" spans="1:12" x14ac:dyDescent="0.3">
      <c r="A1451" t="s">
        <v>59</v>
      </c>
      <c r="B1451">
        <v>396</v>
      </c>
      <c r="C1451">
        <v>-31</v>
      </c>
      <c r="D1451">
        <v>3564</v>
      </c>
      <c r="E1451">
        <f>SUM(Details[[#This Row],[Actual_Cost]],Details[[#This Row],[Profit]])</f>
        <v>3533</v>
      </c>
      <c r="F1451">
        <v>9</v>
      </c>
      <c r="G1451">
        <f>PRODUCT(Details[[#This Row],[Selling_Cost]],Details[[#This Row],[Quantity]])</f>
        <v>31797</v>
      </c>
      <c r="H1451" t="s">
        <v>8</v>
      </c>
      <c r="I1451" t="s">
        <v>9</v>
      </c>
      <c r="J1451" t="s">
        <v>10</v>
      </c>
      <c r="K1451" t="s">
        <v>552</v>
      </c>
      <c r="L1451" t="s">
        <v>624</v>
      </c>
    </row>
    <row r="1452" spans="1:12" x14ac:dyDescent="0.3">
      <c r="A1452" t="s">
        <v>524</v>
      </c>
      <c r="B1452">
        <v>80</v>
      </c>
      <c r="C1452">
        <v>-26</v>
      </c>
      <c r="D1452">
        <v>720</v>
      </c>
      <c r="E1452">
        <f>SUM(Details[[#This Row],[Actual_Cost]],Details[[#This Row],[Profit]])</f>
        <v>694</v>
      </c>
      <c r="F1452">
        <v>9</v>
      </c>
      <c r="G1452">
        <f>PRODUCT(Details[[#This Row],[Selling_Cost]],Details[[#This Row],[Quantity]])</f>
        <v>6246</v>
      </c>
      <c r="H1452" t="s">
        <v>8</v>
      </c>
      <c r="I1452" t="s">
        <v>58</v>
      </c>
      <c r="J1452" t="s">
        <v>125</v>
      </c>
      <c r="K1452" t="s">
        <v>569</v>
      </c>
      <c r="L1452" t="s">
        <v>550</v>
      </c>
    </row>
    <row r="1453" spans="1:12" x14ac:dyDescent="0.3">
      <c r="A1453" t="s">
        <v>329</v>
      </c>
      <c r="B1453">
        <v>424</v>
      </c>
      <c r="C1453">
        <v>-17</v>
      </c>
      <c r="D1453">
        <v>3816</v>
      </c>
      <c r="E1453">
        <f>SUM(Details[[#This Row],[Actual_Cost]],Details[[#This Row],[Profit]])</f>
        <v>3799</v>
      </c>
      <c r="F1453">
        <v>9</v>
      </c>
      <c r="G1453">
        <f>PRODUCT(Details[[#This Row],[Selling_Cost]],Details[[#This Row],[Quantity]])</f>
        <v>34191</v>
      </c>
      <c r="H1453" t="s">
        <v>16</v>
      </c>
      <c r="I1453" t="s">
        <v>23</v>
      </c>
      <c r="J1453" t="s">
        <v>42</v>
      </c>
      <c r="K1453" t="s">
        <v>548</v>
      </c>
      <c r="L1453" t="s">
        <v>585</v>
      </c>
    </row>
    <row r="1454" spans="1:12" x14ac:dyDescent="0.3">
      <c r="A1454" t="s">
        <v>88</v>
      </c>
      <c r="B1454">
        <v>1157</v>
      </c>
      <c r="C1454">
        <v>-13</v>
      </c>
      <c r="D1454">
        <v>10413</v>
      </c>
      <c r="E1454">
        <f>SUM(Details[[#This Row],[Actual_Cost]],Details[[#This Row],[Profit]])</f>
        <v>10400</v>
      </c>
      <c r="F1454">
        <v>9</v>
      </c>
      <c r="G1454">
        <f>PRODUCT(Details[[#This Row],[Selling_Cost]],Details[[#This Row],[Quantity]])</f>
        <v>93600</v>
      </c>
      <c r="H1454" t="s">
        <v>16</v>
      </c>
      <c r="I1454" t="s">
        <v>17</v>
      </c>
      <c r="J1454" t="s">
        <v>27</v>
      </c>
      <c r="K1454" t="s">
        <v>552</v>
      </c>
      <c r="L1454" t="s">
        <v>546</v>
      </c>
    </row>
    <row r="1455" spans="1:12" x14ac:dyDescent="0.3">
      <c r="A1455" t="s">
        <v>525</v>
      </c>
      <c r="B1455">
        <v>1603</v>
      </c>
      <c r="C1455">
        <v>0</v>
      </c>
      <c r="D1455">
        <v>14427</v>
      </c>
      <c r="E1455">
        <f>SUM(Details[[#This Row],[Actual_Cost]],Details[[#This Row],[Profit]])</f>
        <v>14427</v>
      </c>
      <c r="F1455">
        <v>9</v>
      </c>
      <c r="G1455">
        <f>PRODUCT(Details[[#This Row],[Selling_Cost]],Details[[#This Row],[Quantity]])</f>
        <v>129843</v>
      </c>
      <c r="H1455" t="s">
        <v>8</v>
      </c>
      <c r="I1455" t="s">
        <v>9</v>
      </c>
      <c r="J1455" t="s">
        <v>27</v>
      </c>
      <c r="K1455" t="s">
        <v>605</v>
      </c>
      <c r="L1455" t="s">
        <v>565</v>
      </c>
    </row>
    <row r="1456" spans="1:12" x14ac:dyDescent="0.3">
      <c r="A1456" t="s">
        <v>385</v>
      </c>
      <c r="B1456">
        <v>36</v>
      </c>
      <c r="C1456">
        <v>4</v>
      </c>
      <c r="D1456">
        <v>324</v>
      </c>
      <c r="E1456">
        <f>SUM(Details[[#This Row],[Actual_Cost]],Details[[#This Row],[Profit]])</f>
        <v>328</v>
      </c>
      <c r="F1456">
        <v>9</v>
      </c>
      <c r="G1456">
        <f>PRODUCT(Details[[#This Row],[Selling_Cost]],Details[[#This Row],[Quantity]])</f>
        <v>2952</v>
      </c>
      <c r="H1456" t="s">
        <v>8</v>
      </c>
      <c r="I1456" t="s">
        <v>48</v>
      </c>
      <c r="J1456" t="s">
        <v>10</v>
      </c>
      <c r="K1456" t="s">
        <v>552</v>
      </c>
      <c r="L1456" t="s">
        <v>563</v>
      </c>
    </row>
    <row r="1457" spans="1:12" x14ac:dyDescent="0.3">
      <c r="A1457" t="s">
        <v>278</v>
      </c>
      <c r="B1457">
        <v>157</v>
      </c>
      <c r="C1457">
        <v>5</v>
      </c>
      <c r="D1457">
        <v>1413</v>
      </c>
      <c r="E1457">
        <f>SUM(Details[[#This Row],[Actual_Cost]],Details[[#This Row],[Profit]])</f>
        <v>1418</v>
      </c>
      <c r="F1457">
        <v>9</v>
      </c>
      <c r="G1457">
        <f>PRODUCT(Details[[#This Row],[Selling_Cost]],Details[[#This Row],[Quantity]])</f>
        <v>12762</v>
      </c>
      <c r="H1457" t="s">
        <v>8</v>
      </c>
      <c r="I1457" t="s">
        <v>9</v>
      </c>
      <c r="J1457" t="s">
        <v>18</v>
      </c>
      <c r="K1457" t="s">
        <v>607</v>
      </c>
      <c r="L1457" t="s">
        <v>565</v>
      </c>
    </row>
    <row r="1458" spans="1:12" x14ac:dyDescent="0.3">
      <c r="A1458" t="s">
        <v>121</v>
      </c>
      <c r="B1458">
        <v>111</v>
      </c>
      <c r="C1458">
        <v>11</v>
      </c>
      <c r="D1458">
        <v>999</v>
      </c>
      <c r="E1458">
        <f>SUM(Details[[#This Row],[Actual_Cost]],Details[[#This Row],[Profit]])</f>
        <v>1010</v>
      </c>
      <c r="F1458">
        <v>9</v>
      </c>
      <c r="G1458">
        <f>PRODUCT(Details[[#This Row],[Selling_Cost]],Details[[#This Row],[Quantity]])</f>
        <v>9090</v>
      </c>
      <c r="H1458" t="s">
        <v>8</v>
      </c>
      <c r="I1458" t="s">
        <v>48</v>
      </c>
      <c r="J1458" t="s">
        <v>27</v>
      </c>
      <c r="K1458" t="s">
        <v>632</v>
      </c>
      <c r="L1458" t="s">
        <v>546</v>
      </c>
    </row>
    <row r="1459" spans="1:12" x14ac:dyDescent="0.3">
      <c r="A1459" t="s">
        <v>316</v>
      </c>
      <c r="B1459">
        <v>195</v>
      </c>
      <c r="C1459">
        <v>12</v>
      </c>
      <c r="D1459">
        <v>1755</v>
      </c>
      <c r="E1459">
        <f>SUM(Details[[#This Row],[Actual_Cost]],Details[[#This Row],[Profit]])</f>
        <v>1767</v>
      </c>
      <c r="F1459">
        <v>9</v>
      </c>
      <c r="G1459">
        <f>PRODUCT(Details[[#This Row],[Selling_Cost]],Details[[#This Row],[Quantity]])</f>
        <v>15903</v>
      </c>
      <c r="H1459" t="s">
        <v>8</v>
      </c>
      <c r="I1459" t="s">
        <v>61</v>
      </c>
      <c r="J1459" t="s">
        <v>27</v>
      </c>
      <c r="K1459" t="s">
        <v>539</v>
      </c>
      <c r="L1459" t="s">
        <v>544</v>
      </c>
    </row>
    <row r="1460" spans="1:12" x14ac:dyDescent="0.3">
      <c r="A1460" t="s">
        <v>526</v>
      </c>
      <c r="B1460">
        <v>171</v>
      </c>
      <c r="C1460">
        <v>14</v>
      </c>
      <c r="D1460">
        <v>1539</v>
      </c>
      <c r="E1460">
        <f>SUM(Details[[#This Row],[Actual_Cost]],Details[[#This Row],[Profit]])</f>
        <v>1553</v>
      </c>
      <c r="F1460">
        <v>9</v>
      </c>
      <c r="G1460">
        <f>PRODUCT(Details[[#This Row],[Selling_Cost]],Details[[#This Row],[Quantity]])</f>
        <v>13977</v>
      </c>
      <c r="H1460" t="s">
        <v>8</v>
      </c>
      <c r="I1460" t="s">
        <v>61</v>
      </c>
      <c r="J1460" t="s">
        <v>42</v>
      </c>
      <c r="K1460" t="s">
        <v>632</v>
      </c>
      <c r="L1460" t="s">
        <v>585</v>
      </c>
    </row>
    <row r="1461" spans="1:12" x14ac:dyDescent="0.3">
      <c r="A1461" t="s">
        <v>89</v>
      </c>
      <c r="B1461">
        <v>101</v>
      </c>
      <c r="C1461">
        <v>18</v>
      </c>
      <c r="D1461">
        <v>909</v>
      </c>
      <c r="E1461">
        <f>SUM(Details[[#This Row],[Actual_Cost]],Details[[#This Row],[Profit]])</f>
        <v>927</v>
      </c>
      <c r="F1461">
        <v>9</v>
      </c>
      <c r="G1461">
        <f>PRODUCT(Details[[#This Row],[Selling_Cost]],Details[[#This Row],[Quantity]])</f>
        <v>8343</v>
      </c>
      <c r="H1461" t="s">
        <v>8</v>
      </c>
      <c r="I1461" t="s">
        <v>58</v>
      </c>
      <c r="J1461" t="s">
        <v>10</v>
      </c>
      <c r="K1461" t="s">
        <v>548</v>
      </c>
      <c r="L1461" t="s">
        <v>624</v>
      </c>
    </row>
    <row r="1462" spans="1:12" x14ac:dyDescent="0.3">
      <c r="A1462" t="s">
        <v>95</v>
      </c>
      <c r="B1462">
        <v>190</v>
      </c>
      <c r="C1462">
        <v>19</v>
      </c>
      <c r="D1462">
        <v>1710</v>
      </c>
      <c r="E1462">
        <f>SUM(Details[[#This Row],[Actual_Cost]],Details[[#This Row],[Profit]])</f>
        <v>1729</v>
      </c>
      <c r="F1462">
        <v>9</v>
      </c>
      <c r="G1462">
        <f>PRODUCT(Details[[#This Row],[Selling_Cost]],Details[[#This Row],[Quantity]])</f>
        <v>15561</v>
      </c>
      <c r="H1462" t="s">
        <v>16</v>
      </c>
      <c r="I1462" t="s">
        <v>32</v>
      </c>
      <c r="J1462" t="s">
        <v>27</v>
      </c>
      <c r="K1462" t="s">
        <v>552</v>
      </c>
      <c r="L1462" t="s">
        <v>546</v>
      </c>
    </row>
    <row r="1463" spans="1:12" x14ac:dyDescent="0.3">
      <c r="A1463" t="s">
        <v>345</v>
      </c>
      <c r="B1463">
        <v>918</v>
      </c>
      <c r="C1463">
        <v>22</v>
      </c>
      <c r="D1463">
        <v>8262</v>
      </c>
      <c r="E1463">
        <f>SUM(Details[[#This Row],[Actual_Cost]],Details[[#This Row],[Profit]])</f>
        <v>8284</v>
      </c>
      <c r="F1463">
        <v>9</v>
      </c>
      <c r="G1463">
        <f>PRODUCT(Details[[#This Row],[Selling_Cost]],Details[[#This Row],[Quantity]])</f>
        <v>74556</v>
      </c>
      <c r="H1463" t="s">
        <v>13</v>
      </c>
      <c r="I1463" t="s">
        <v>34</v>
      </c>
      <c r="J1463" t="s">
        <v>10</v>
      </c>
      <c r="K1463" t="s">
        <v>607</v>
      </c>
      <c r="L1463" t="s">
        <v>546</v>
      </c>
    </row>
    <row r="1464" spans="1:12" x14ac:dyDescent="0.3">
      <c r="A1464" t="s">
        <v>265</v>
      </c>
      <c r="B1464">
        <v>75</v>
      </c>
      <c r="C1464">
        <v>28</v>
      </c>
      <c r="D1464">
        <v>675</v>
      </c>
      <c r="E1464">
        <f>SUM(Details[[#This Row],[Actual_Cost]],Details[[#This Row],[Profit]])</f>
        <v>703</v>
      </c>
      <c r="F1464">
        <v>9</v>
      </c>
      <c r="G1464">
        <f>PRODUCT(Details[[#This Row],[Selling_Cost]],Details[[#This Row],[Quantity]])</f>
        <v>6327</v>
      </c>
      <c r="H1464" t="s">
        <v>8</v>
      </c>
      <c r="I1464" t="s">
        <v>48</v>
      </c>
      <c r="J1464" t="s">
        <v>18</v>
      </c>
      <c r="K1464" t="s">
        <v>552</v>
      </c>
      <c r="L1464" t="s">
        <v>563</v>
      </c>
    </row>
    <row r="1465" spans="1:12" x14ac:dyDescent="0.3">
      <c r="A1465" t="s">
        <v>224</v>
      </c>
      <c r="B1465">
        <v>237</v>
      </c>
      <c r="C1465">
        <v>47</v>
      </c>
      <c r="D1465">
        <v>2133</v>
      </c>
      <c r="E1465">
        <f>SUM(Details[[#This Row],[Actual_Cost]],Details[[#This Row],[Profit]])</f>
        <v>2180</v>
      </c>
      <c r="F1465">
        <v>9</v>
      </c>
      <c r="G1465">
        <f>PRODUCT(Details[[#This Row],[Selling_Cost]],Details[[#This Row],[Quantity]])</f>
        <v>19620</v>
      </c>
      <c r="H1465" t="s">
        <v>8</v>
      </c>
      <c r="I1465" t="s">
        <v>46</v>
      </c>
      <c r="J1465" t="s">
        <v>18</v>
      </c>
      <c r="K1465" t="s">
        <v>596</v>
      </c>
      <c r="L1465" t="s">
        <v>567</v>
      </c>
    </row>
    <row r="1466" spans="1:12" x14ac:dyDescent="0.3">
      <c r="A1466" t="s">
        <v>227</v>
      </c>
      <c r="B1466">
        <v>229</v>
      </c>
      <c r="C1466">
        <v>59</v>
      </c>
      <c r="D1466">
        <v>2061</v>
      </c>
      <c r="E1466">
        <f>SUM(Details[[#This Row],[Actual_Cost]],Details[[#This Row],[Profit]])</f>
        <v>2120</v>
      </c>
      <c r="F1466">
        <v>9</v>
      </c>
      <c r="G1466">
        <f>PRODUCT(Details[[#This Row],[Selling_Cost]],Details[[#This Row],[Quantity]])</f>
        <v>19080</v>
      </c>
      <c r="H1466" t="s">
        <v>8</v>
      </c>
      <c r="I1466" t="s">
        <v>9</v>
      </c>
      <c r="J1466" t="s">
        <v>42</v>
      </c>
      <c r="K1466" t="s">
        <v>539</v>
      </c>
      <c r="L1466" t="s">
        <v>546</v>
      </c>
    </row>
    <row r="1467" spans="1:12" x14ac:dyDescent="0.3">
      <c r="A1467" t="s">
        <v>233</v>
      </c>
      <c r="B1467">
        <v>294</v>
      </c>
      <c r="C1467">
        <v>62</v>
      </c>
      <c r="D1467">
        <v>2646</v>
      </c>
      <c r="E1467">
        <f>SUM(Details[[#This Row],[Actual_Cost]],Details[[#This Row],[Profit]])</f>
        <v>2708</v>
      </c>
      <c r="F1467">
        <v>9</v>
      </c>
      <c r="G1467">
        <f>PRODUCT(Details[[#This Row],[Selling_Cost]],Details[[#This Row],[Quantity]])</f>
        <v>24372</v>
      </c>
      <c r="H1467" t="s">
        <v>8</v>
      </c>
      <c r="I1467" t="s">
        <v>46</v>
      </c>
      <c r="J1467" t="s">
        <v>125</v>
      </c>
      <c r="K1467" t="s">
        <v>548</v>
      </c>
      <c r="L1467" t="s">
        <v>546</v>
      </c>
    </row>
    <row r="1468" spans="1:12" x14ac:dyDescent="0.3">
      <c r="A1468" t="s">
        <v>527</v>
      </c>
      <c r="B1468">
        <v>1298</v>
      </c>
      <c r="C1468">
        <v>65</v>
      </c>
      <c r="D1468">
        <v>11682</v>
      </c>
      <c r="E1468">
        <f>SUM(Details[[#This Row],[Actual_Cost]],Details[[#This Row],[Profit]])</f>
        <v>11747</v>
      </c>
      <c r="F1468">
        <v>9</v>
      </c>
      <c r="G1468">
        <f>PRODUCT(Details[[#This Row],[Selling_Cost]],Details[[#This Row],[Quantity]])</f>
        <v>105723</v>
      </c>
      <c r="H1468" t="s">
        <v>13</v>
      </c>
      <c r="I1468" t="s">
        <v>20</v>
      </c>
      <c r="J1468" t="s">
        <v>125</v>
      </c>
      <c r="K1468" t="s">
        <v>548</v>
      </c>
      <c r="L1468" t="s">
        <v>563</v>
      </c>
    </row>
    <row r="1469" spans="1:12" x14ac:dyDescent="0.3">
      <c r="A1469" t="s">
        <v>364</v>
      </c>
      <c r="B1469">
        <v>255</v>
      </c>
      <c r="C1469">
        <v>76</v>
      </c>
      <c r="D1469">
        <v>2295</v>
      </c>
      <c r="E1469">
        <f>SUM(Details[[#This Row],[Actual_Cost]],Details[[#This Row],[Profit]])</f>
        <v>2371</v>
      </c>
      <c r="F1469">
        <v>9</v>
      </c>
      <c r="G1469">
        <f>PRODUCT(Details[[#This Row],[Selling_Cost]],Details[[#This Row],[Quantity]])</f>
        <v>21339</v>
      </c>
      <c r="H1469" t="s">
        <v>8</v>
      </c>
      <c r="I1469" t="s">
        <v>48</v>
      </c>
      <c r="J1469" t="s">
        <v>10</v>
      </c>
      <c r="K1469" t="s">
        <v>661</v>
      </c>
      <c r="L1469" t="s">
        <v>544</v>
      </c>
    </row>
    <row r="1470" spans="1:12" x14ac:dyDescent="0.3">
      <c r="A1470" t="s">
        <v>277</v>
      </c>
      <c r="B1470">
        <v>202</v>
      </c>
      <c r="C1470">
        <v>89</v>
      </c>
      <c r="D1470">
        <v>1818</v>
      </c>
      <c r="E1470">
        <f>SUM(Details[[#This Row],[Actual_Cost]],Details[[#This Row],[Profit]])</f>
        <v>1907</v>
      </c>
      <c r="F1470">
        <v>9</v>
      </c>
      <c r="G1470">
        <f>PRODUCT(Details[[#This Row],[Selling_Cost]],Details[[#This Row],[Quantity]])</f>
        <v>17163</v>
      </c>
      <c r="H1470" t="s">
        <v>8</v>
      </c>
      <c r="I1470" t="s">
        <v>46</v>
      </c>
      <c r="J1470" t="s">
        <v>125</v>
      </c>
      <c r="K1470" t="s">
        <v>587</v>
      </c>
      <c r="L1470" t="s">
        <v>546</v>
      </c>
    </row>
    <row r="1471" spans="1:12" x14ac:dyDescent="0.3">
      <c r="A1471" t="s">
        <v>371</v>
      </c>
      <c r="B1471">
        <v>290</v>
      </c>
      <c r="C1471">
        <v>110</v>
      </c>
      <c r="D1471">
        <v>2610</v>
      </c>
      <c r="E1471">
        <f>SUM(Details[[#This Row],[Actual_Cost]],Details[[#This Row],[Profit]])</f>
        <v>2720</v>
      </c>
      <c r="F1471">
        <v>9</v>
      </c>
      <c r="G1471">
        <f>PRODUCT(Details[[#This Row],[Selling_Cost]],Details[[#This Row],[Quantity]])</f>
        <v>24480</v>
      </c>
      <c r="H1471" t="s">
        <v>8</v>
      </c>
      <c r="I1471" t="s">
        <v>29</v>
      </c>
      <c r="J1471" t="s">
        <v>18</v>
      </c>
      <c r="K1471" t="s">
        <v>552</v>
      </c>
      <c r="L1471" t="s">
        <v>541</v>
      </c>
    </row>
    <row r="1472" spans="1:12" x14ac:dyDescent="0.3">
      <c r="A1472" t="s">
        <v>118</v>
      </c>
      <c r="B1472">
        <v>671</v>
      </c>
      <c r="C1472">
        <v>114</v>
      </c>
      <c r="D1472">
        <v>6039</v>
      </c>
      <c r="E1472">
        <f>SUM(Details[[#This Row],[Actual_Cost]],Details[[#This Row],[Profit]])</f>
        <v>6153</v>
      </c>
      <c r="F1472">
        <v>9</v>
      </c>
      <c r="G1472">
        <f>PRODUCT(Details[[#This Row],[Selling_Cost]],Details[[#This Row],[Quantity]])</f>
        <v>55377</v>
      </c>
      <c r="H1472" t="s">
        <v>13</v>
      </c>
      <c r="I1472" t="s">
        <v>14</v>
      </c>
      <c r="J1472" t="s">
        <v>27</v>
      </c>
      <c r="K1472" t="s">
        <v>539</v>
      </c>
      <c r="L1472" t="s">
        <v>541</v>
      </c>
    </row>
    <row r="1473" spans="1:12" x14ac:dyDescent="0.3">
      <c r="A1473" t="s">
        <v>318</v>
      </c>
      <c r="B1473">
        <v>436</v>
      </c>
      <c r="C1473">
        <v>131</v>
      </c>
      <c r="D1473">
        <v>3924</v>
      </c>
      <c r="E1473">
        <f>SUM(Details[[#This Row],[Actual_Cost]],Details[[#This Row],[Profit]])</f>
        <v>4055</v>
      </c>
      <c r="F1473">
        <v>9</v>
      </c>
      <c r="G1473">
        <f>PRODUCT(Details[[#This Row],[Selling_Cost]],Details[[#This Row],[Quantity]])</f>
        <v>36495</v>
      </c>
      <c r="H1473" t="s">
        <v>8</v>
      </c>
      <c r="I1473" t="s">
        <v>48</v>
      </c>
      <c r="J1473" t="s">
        <v>18</v>
      </c>
      <c r="K1473" t="s">
        <v>548</v>
      </c>
      <c r="L1473" t="s">
        <v>567</v>
      </c>
    </row>
    <row r="1474" spans="1:12" x14ac:dyDescent="0.3">
      <c r="A1474" t="s">
        <v>26</v>
      </c>
      <c r="B1474">
        <v>1361</v>
      </c>
      <c r="C1474">
        <v>197</v>
      </c>
      <c r="D1474">
        <v>12249</v>
      </c>
      <c r="E1474">
        <f>SUM(Details[[#This Row],[Actual_Cost]],Details[[#This Row],[Profit]])</f>
        <v>12446</v>
      </c>
      <c r="F1474">
        <v>9</v>
      </c>
      <c r="G1474">
        <f>PRODUCT(Details[[#This Row],[Selling_Cost]],Details[[#This Row],[Quantity]])</f>
        <v>112014</v>
      </c>
      <c r="H1474" t="s">
        <v>16</v>
      </c>
      <c r="I1474" t="s">
        <v>17</v>
      </c>
      <c r="J1474" t="s">
        <v>10</v>
      </c>
      <c r="K1474" t="s">
        <v>552</v>
      </c>
      <c r="L1474" t="s">
        <v>554</v>
      </c>
    </row>
    <row r="1475" spans="1:12" x14ac:dyDescent="0.3">
      <c r="A1475" t="s">
        <v>528</v>
      </c>
      <c r="B1475">
        <v>465</v>
      </c>
      <c r="C1475">
        <v>207</v>
      </c>
      <c r="D1475">
        <v>4185</v>
      </c>
      <c r="E1475">
        <f>SUM(Details[[#This Row],[Actual_Cost]],Details[[#This Row],[Profit]])</f>
        <v>4392</v>
      </c>
      <c r="F1475">
        <v>9</v>
      </c>
      <c r="G1475">
        <f>PRODUCT(Details[[#This Row],[Selling_Cost]],Details[[#This Row],[Quantity]])</f>
        <v>39528</v>
      </c>
      <c r="H1475" t="s">
        <v>8</v>
      </c>
      <c r="I1475" t="s">
        <v>9</v>
      </c>
      <c r="J1475" t="s">
        <v>10</v>
      </c>
      <c r="K1475" t="s">
        <v>548</v>
      </c>
      <c r="L1475" t="s">
        <v>550</v>
      </c>
    </row>
    <row r="1476" spans="1:12" x14ac:dyDescent="0.3">
      <c r="A1476" t="s">
        <v>181</v>
      </c>
      <c r="B1476">
        <v>186</v>
      </c>
      <c r="C1476">
        <v>241</v>
      </c>
      <c r="D1476">
        <v>1674</v>
      </c>
      <c r="E1476">
        <f>SUM(Details[[#This Row],[Actual_Cost]],Details[[#This Row],[Profit]])</f>
        <v>1915</v>
      </c>
      <c r="F1476">
        <v>9</v>
      </c>
      <c r="G1476">
        <f>PRODUCT(Details[[#This Row],[Selling_Cost]],Details[[#This Row],[Quantity]])</f>
        <v>17235</v>
      </c>
      <c r="H1476" t="s">
        <v>8</v>
      </c>
      <c r="I1476" t="s">
        <v>61</v>
      </c>
      <c r="J1476" t="s">
        <v>27</v>
      </c>
      <c r="K1476" t="s">
        <v>552</v>
      </c>
      <c r="L1476" t="s">
        <v>585</v>
      </c>
    </row>
    <row r="1477" spans="1:12" x14ac:dyDescent="0.3">
      <c r="A1477" t="s">
        <v>26</v>
      </c>
      <c r="B1477">
        <v>761</v>
      </c>
      <c r="C1477">
        <v>266</v>
      </c>
      <c r="D1477">
        <v>6849</v>
      </c>
      <c r="E1477">
        <f>SUM(Details[[#This Row],[Actual_Cost]],Details[[#This Row],[Profit]])</f>
        <v>7115</v>
      </c>
      <c r="F1477">
        <v>9</v>
      </c>
      <c r="G1477">
        <f>PRODUCT(Details[[#This Row],[Selling_Cost]],Details[[#This Row],[Quantity]])</f>
        <v>64035</v>
      </c>
      <c r="H1477" t="s">
        <v>13</v>
      </c>
      <c r="I1477" t="s">
        <v>34</v>
      </c>
      <c r="J1477" t="s">
        <v>10</v>
      </c>
      <c r="K1477" t="s">
        <v>552</v>
      </c>
      <c r="L1477" t="s">
        <v>554</v>
      </c>
    </row>
    <row r="1478" spans="1:12" x14ac:dyDescent="0.3">
      <c r="A1478" t="s">
        <v>129</v>
      </c>
      <c r="B1478">
        <v>1218</v>
      </c>
      <c r="C1478">
        <v>352</v>
      </c>
      <c r="D1478">
        <v>10962</v>
      </c>
      <c r="E1478">
        <f>SUM(Details[[#This Row],[Actual_Cost]],Details[[#This Row],[Profit]])</f>
        <v>11314</v>
      </c>
      <c r="F1478">
        <v>9</v>
      </c>
      <c r="G1478">
        <f>PRODUCT(Details[[#This Row],[Selling_Cost]],Details[[#This Row],[Quantity]])</f>
        <v>101826</v>
      </c>
      <c r="H1478" t="s">
        <v>16</v>
      </c>
      <c r="I1478" t="s">
        <v>17</v>
      </c>
      <c r="J1478" t="s">
        <v>125</v>
      </c>
      <c r="K1478" t="s">
        <v>561</v>
      </c>
      <c r="L1478" t="s">
        <v>546</v>
      </c>
    </row>
    <row r="1479" spans="1:12" x14ac:dyDescent="0.3">
      <c r="A1479" t="s">
        <v>95</v>
      </c>
      <c r="B1479">
        <v>158</v>
      </c>
      <c r="C1479">
        <v>-29</v>
      </c>
      <c r="D1479">
        <v>1580</v>
      </c>
      <c r="E1479">
        <f>SUM(Details[[#This Row],[Actual_Cost]],Details[[#This Row],[Profit]])</f>
        <v>1551</v>
      </c>
      <c r="F1479">
        <v>10</v>
      </c>
      <c r="G1479">
        <f>PRODUCT(Details[[#This Row],[Selling_Cost]],Details[[#This Row],[Quantity]])</f>
        <v>15510</v>
      </c>
      <c r="H1479" t="s">
        <v>8</v>
      </c>
      <c r="I1479" t="s">
        <v>48</v>
      </c>
      <c r="J1479" t="s">
        <v>125</v>
      </c>
      <c r="K1479" t="s">
        <v>552</v>
      </c>
      <c r="L1479" t="s">
        <v>546</v>
      </c>
    </row>
    <row r="1480" spans="1:12" x14ac:dyDescent="0.3">
      <c r="A1480" t="s">
        <v>314</v>
      </c>
      <c r="B1480">
        <v>85</v>
      </c>
      <c r="C1480">
        <v>24</v>
      </c>
      <c r="D1480">
        <v>850</v>
      </c>
      <c r="E1480">
        <f>SUM(Details[[#This Row],[Actual_Cost]],Details[[#This Row],[Profit]])</f>
        <v>874</v>
      </c>
      <c r="F1480">
        <v>10</v>
      </c>
      <c r="G1480">
        <f>PRODUCT(Details[[#This Row],[Selling_Cost]],Details[[#This Row],[Quantity]])</f>
        <v>8740</v>
      </c>
      <c r="H1480" t="s">
        <v>8</v>
      </c>
      <c r="I1480" t="s">
        <v>48</v>
      </c>
      <c r="J1480" t="s">
        <v>42</v>
      </c>
      <c r="K1480" t="s">
        <v>632</v>
      </c>
      <c r="L1480" t="s">
        <v>541</v>
      </c>
    </row>
    <row r="1481" spans="1:12" x14ac:dyDescent="0.3">
      <c r="A1481" t="s">
        <v>319</v>
      </c>
      <c r="B1481">
        <v>264</v>
      </c>
      <c r="C1481">
        <v>71</v>
      </c>
      <c r="D1481">
        <v>2640</v>
      </c>
      <c r="E1481">
        <f>SUM(Details[[#This Row],[Actual_Cost]],Details[[#This Row],[Profit]])</f>
        <v>2711</v>
      </c>
      <c r="F1481">
        <v>10</v>
      </c>
      <c r="G1481">
        <f>PRODUCT(Details[[#This Row],[Selling_Cost]],Details[[#This Row],[Quantity]])</f>
        <v>27110</v>
      </c>
      <c r="H1481" t="s">
        <v>16</v>
      </c>
      <c r="I1481" t="s">
        <v>32</v>
      </c>
      <c r="J1481" t="s">
        <v>42</v>
      </c>
      <c r="K1481" t="s">
        <v>605</v>
      </c>
      <c r="L1481" t="s">
        <v>567</v>
      </c>
    </row>
    <row r="1482" spans="1:12" x14ac:dyDescent="0.3">
      <c r="A1482" t="s">
        <v>285</v>
      </c>
      <c r="B1482">
        <v>1117</v>
      </c>
      <c r="C1482">
        <v>447</v>
      </c>
      <c r="D1482">
        <v>11170</v>
      </c>
      <c r="E1482">
        <f>SUM(Details[[#This Row],[Actual_Cost]],Details[[#This Row],[Profit]])</f>
        <v>11617</v>
      </c>
      <c r="F1482">
        <v>10</v>
      </c>
      <c r="G1482">
        <f>PRODUCT(Details[[#This Row],[Selling_Cost]],Details[[#This Row],[Quantity]])</f>
        <v>116170</v>
      </c>
      <c r="H1482" t="s">
        <v>16</v>
      </c>
      <c r="I1482" t="s">
        <v>17</v>
      </c>
      <c r="J1482" t="s">
        <v>125</v>
      </c>
      <c r="K1482" t="s">
        <v>605</v>
      </c>
      <c r="L1482" t="s">
        <v>544</v>
      </c>
    </row>
    <row r="1483" spans="1:12" x14ac:dyDescent="0.3">
      <c r="A1483" t="s">
        <v>60</v>
      </c>
      <c r="B1483">
        <v>633</v>
      </c>
      <c r="C1483">
        <v>-633</v>
      </c>
      <c r="D1483">
        <v>6963</v>
      </c>
      <c r="E1483">
        <f>SUM(Details[[#This Row],[Actual_Cost]],Details[[#This Row],[Profit]])</f>
        <v>6330</v>
      </c>
      <c r="F1483">
        <v>11</v>
      </c>
      <c r="G1483">
        <f>PRODUCT(Details[[#This Row],[Selling_Cost]],Details[[#This Row],[Quantity]])</f>
        <v>69630</v>
      </c>
      <c r="H1483" t="s">
        <v>13</v>
      </c>
      <c r="I1483" t="s">
        <v>55</v>
      </c>
      <c r="J1483" t="s">
        <v>18</v>
      </c>
      <c r="K1483" t="s">
        <v>548</v>
      </c>
      <c r="L1483" t="s">
        <v>563</v>
      </c>
    </row>
    <row r="1484" spans="1:12" x14ac:dyDescent="0.3">
      <c r="A1484" t="s">
        <v>33</v>
      </c>
      <c r="B1484">
        <v>385</v>
      </c>
      <c r="C1484">
        <v>-77</v>
      </c>
      <c r="D1484">
        <v>4235</v>
      </c>
      <c r="E1484">
        <f>SUM(Details[[#This Row],[Actual_Cost]],Details[[#This Row],[Profit]])</f>
        <v>4158</v>
      </c>
      <c r="F1484">
        <v>11</v>
      </c>
      <c r="G1484">
        <f>PRODUCT(Details[[#This Row],[Selling_Cost]],Details[[#This Row],[Quantity]])</f>
        <v>45738</v>
      </c>
      <c r="H1484" t="s">
        <v>16</v>
      </c>
      <c r="I1484" t="s">
        <v>32</v>
      </c>
      <c r="J1484" t="s">
        <v>18</v>
      </c>
      <c r="K1484" t="s">
        <v>548</v>
      </c>
      <c r="L1484" t="s">
        <v>624</v>
      </c>
    </row>
    <row r="1485" spans="1:12" x14ac:dyDescent="0.3">
      <c r="A1485" t="s">
        <v>529</v>
      </c>
      <c r="B1485">
        <v>545</v>
      </c>
      <c r="C1485">
        <v>-73</v>
      </c>
      <c r="D1485">
        <v>5995</v>
      </c>
      <c r="E1485">
        <f>SUM(Details[[#This Row],[Actual_Cost]],Details[[#This Row],[Profit]])</f>
        <v>5922</v>
      </c>
      <c r="F1485">
        <v>11</v>
      </c>
      <c r="G1485">
        <f>PRODUCT(Details[[#This Row],[Selling_Cost]],Details[[#This Row],[Quantity]])</f>
        <v>65142</v>
      </c>
      <c r="H1485" t="s">
        <v>13</v>
      </c>
      <c r="I1485" t="s">
        <v>14</v>
      </c>
      <c r="J1485" t="s">
        <v>10</v>
      </c>
      <c r="K1485" t="s">
        <v>578</v>
      </c>
      <c r="L1485" t="s">
        <v>585</v>
      </c>
    </row>
    <row r="1486" spans="1:12" x14ac:dyDescent="0.3">
      <c r="A1486" t="s">
        <v>530</v>
      </c>
      <c r="B1486">
        <v>434</v>
      </c>
      <c r="C1486">
        <v>26</v>
      </c>
      <c r="D1486">
        <v>4774</v>
      </c>
      <c r="E1486">
        <f>SUM(Details[[#This Row],[Actual_Cost]],Details[[#This Row],[Profit]])</f>
        <v>4800</v>
      </c>
      <c r="F1486">
        <v>11</v>
      </c>
      <c r="G1486">
        <f>PRODUCT(Details[[#This Row],[Selling_Cost]],Details[[#This Row],[Quantity]])</f>
        <v>52800</v>
      </c>
      <c r="H1486" t="s">
        <v>8</v>
      </c>
      <c r="I1486" t="s">
        <v>61</v>
      </c>
      <c r="J1486" t="s">
        <v>27</v>
      </c>
      <c r="K1486" t="s">
        <v>610</v>
      </c>
      <c r="L1486" t="s">
        <v>565</v>
      </c>
    </row>
    <row r="1487" spans="1:12" x14ac:dyDescent="0.3">
      <c r="A1487" t="s">
        <v>363</v>
      </c>
      <c r="B1487">
        <v>1402</v>
      </c>
      <c r="C1487">
        <v>109</v>
      </c>
      <c r="D1487">
        <v>15422</v>
      </c>
      <c r="E1487">
        <f>SUM(Details[[#This Row],[Actual_Cost]],Details[[#This Row],[Profit]])</f>
        <v>15531</v>
      </c>
      <c r="F1487">
        <v>11</v>
      </c>
      <c r="G1487">
        <f>PRODUCT(Details[[#This Row],[Selling_Cost]],Details[[#This Row],[Quantity]])</f>
        <v>170841</v>
      </c>
      <c r="H1487" t="s">
        <v>8</v>
      </c>
      <c r="I1487" t="s">
        <v>9</v>
      </c>
      <c r="J1487" t="s">
        <v>125</v>
      </c>
      <c r="K1487" t="s">
        <v>552</v>
      </c>
      <c r="L1487" t="s">
        <v>583</v>
      </c>
    </row>
    <row r="1488" spans="1:12" x14ac:dyDescent="0.3">
      <c r="A1488" t="s">
        <v>384</v>
      </c>
      <c r="B1488">
        <v>291</v>
      </c>
      <c r="C1488">
        <v>119</v>
      </c>
      <c r="D1488">
        <v>3201</v>
      </c>
      <c r="E1488">
        <f>SUM(Details[[#This Row],[Actual_Cost]],Details[[#This Row],[Profit]])</f>
        <v>3320</v>
      </c>
      <c r="F1488">
        <v>11</v>
      </c>
      <c r="G1488">
        <f>PRODUCT(Details[[#This Row],[Selling_Cost]],Details[[#This Row],[Quantity]])</f>
        <v>36520</v>
      </c>
      <c r="H1488" t="s">
        <v>8</v>
      </c>
      <c r="I1488" t="s">
        <v>9</v>
      </c>
      <c r="J1488" t="s">
        <v>10</v>
      </c>
      <c r="K1488" t="s">
        <v>641</v>
      </c>
      <c r="L1488" t="s">
        <v>544</v>
      </c>
    </row>
    <row r="1489" spans="1:12" x14ac:dyDescent="0.3">
      <c r="A1489" t="s">
        <v>213</v>
      </c>
      <c r="B1489">
        <v>916</v>
      </c>
      <c r="C1489">
        <v>192</v>
      </c>
      <c r="D1489">
        <v>10076</v>
      </c>
      <c r="E1489">
        <f>SUM(Details[[#This Row],[Actual_Cost]],Details[[#This Row],[Profit]])</f>
        <v>10268</v>
      </c>
      <c r="F1489">
        <v>11</v>
      </c>
      <c r="G1489">
        <f>PRODUCT(Details[[#This Row],[Selling_Cost]],Details[[#This Row],[Quantity]])</f>
        <v>112948</v>
      </c>
      <c r="H1489" t="s">
        <v>13</v>
      </c>
      <c r="I1489" t="s">
        <v>14</v>
      </c>
      <c r="J1489" t="s">
        <v>10</v>
      </c>
      <c r="K1489" t="s">
        <v>661</v>
      </c>
      <c r="L1489" t="s">
        <v>567</v>
      </c>
    </row>
    <row r="1490" spans="1:12" x14ac:dyDescent="0.3">
      <c r="A1490" t="s">
        <v>355</v>
      </c>
      <c r="B1490">
        <v>296</v>
      </c>
      <c r="C1490">
        <v>225</v>
      </c>
      <c r="D1490">
        <v>3256</v>
      </c>
      <c r="E1490">
        <f>SUM(Details[[#This Row],[Actual_Cost]],Details[[#This Row],[Profit]])</f>
        <v>3481</v>
      </c>
      <c r="F1490">
        <v>11</v>
      </c>
      <c r="G1490">
        <f>PRODUCT(Details[[#This Row],[Selling_Cost]],Details[[#This Row],[Quantity]])</f>
        <v>38291</v>
      </c>
      <c r="H1490" t="s">
        <v>8</v>
      </c>
      <c r="I1490" t="s">
        <v>9</v>
      </c>
      <c r="J1490" t="s">
        <v>10</v>
      </c>
      <c r="K1490" t="s">
        <v>569</v>
      </c>
      <c r="L1490" t="s">
        <v>554</v>
      </c>
    </row>
    <row r="1491" spans="1:12" x14ac:dyDescent="0.3">
      <c r="A1491" t="s">
        <v>408</v>
      </c>
      <c r="B1491">
        <v>1270</v>
      </c>
      <c r="C1491">
        <v>546</v>
      </c>
      <c r="D1491">
        <v>13970</v>
      </c>
      <c r="E1491">
        <f>SUM(Details[[#This Row],[Actual_Cost]],Details[[#This Row],[Profit]])</f>
        <v>14516</v>
      </c>
      <c r="F1491">
        <v>11</v>
      </c>
      <c r="G1491">
        <f>PRODUCT(Details[[#This Row],[Selling_Cost]],Details[[#This Row],[Quantity]])</f>
        <v>159676</v>
      </c>
      <c r="H1491" t="s">
        <v>13</v>
      </c>
      <c r="I1491" t="s">
        <v>34</v>
      </c>
      <c r="J1491" t="s">
        <v>125</v>
      </c>
      <c r="K1491" t="s">
        <v>548</v>
      </c>
      <c r="L1491" t="s">
        <v>546</v>
      </c>
    </row>
    <row r="1492" spans="1:12" x14ac:dyDescent="0.3">
      <c r="A1492" t="s">
        <v>78</v>
      </c>
      <c r="B1492">
        <v>2457</v>
      </c>
      <c r="C1492">
        <v>665</v>
      </c>
      <c r="D1492">
        <v>27027</v>
      </c>
      <c r="E1492">
        <f>SUM(Details[[#This Row],[Actual_Cost]],Details[[#This Row],[Profit]])</f>
        <v>27692</v>
      </c>
      <c r="F1492">
        <v>11</v>
      </c>
      <c r="G1492">
        <f>PRODUCT(Details[[#This Row],[Selling_Cost]],Details[[#This Row],[Quantity]])</f>
        <v>304612</v>
      </c>
      <c r="H1492" t="s">
        <v>13</v>
      </c>
      <c r="I1492" t="s">
        <v>34</v>
      </c>
      <c r="J1492" t="s">
        <v>125</v>
      </c>
      <c r="K1492" t="s">
        <v>548</v>
      </c>
      <c r="L1492" t="s">
        <v>567</v>
      </c>
    </row>
    <row r="1493" spans="1:12" x14ac:dyDescent="0.3">
      <c r="A1493" t="s">
        <v>134</v>
      </c>
      <c r="B1493">
        <v>287</v>
      </c>
      <c r="C1493">
        <v>-280</v>
      </c>
      <c r="D1493">
        <v>3444</v>
      </c>
      <c r="E1493">
        <f>SUM(Details[[#This Row],[Actual_Cost]],Details[[#This Row],[Profit]])</f>
        <v>3164</v>
      </c>
      <c r="F1493">
        <v>12</v>
      </c>
      <c r="G1493">
        <f>PRODUCT(Details[[#This Row],[Selling_Cost]],Details[[#This Row],[Quantity]])</f>
        <v>37968</v>
      </c>
      <c r="H1493" t="s">
        <v>16</v>
      </c>
      <c r="I1493" t="s">
        <v>23</v>
      </c>
      <c r="J1493" t="s">
        <v>18</v>
      </c>
      <c r="K1493" t="s">
        <v>552</v>
      </c>
      <c r="L1493" t="s">
        <v>583</v>
      </c>
    </row>
    <row r="1494" spans="1:12" x14ac:dyDescent="0.3">
      <c r="A1494" t="s">
        <v>24</v>
      </c>
      <c r="B1494">
        <v>42</v>
      </c>
      <c r="C1494">
        <v>-15</v>
      </c>
      <c r="D1494">
        <v>504</v>
      </c>
      <c r="E1494">
        <f>SUM(Details[[#This Row],[Actual_Cost]],Details[[#This Row],[Profit]])</f>
        <v>489</v>
      </c>
      <c r="F1494">
        <v>12</v>
      </c>
      <c r="G1494">
        <f>PRODUCT(Details[[#This Row],[Selling_Cost]],Details[[#This Row],[Quantity]])</f>
        <v>5868</v>
      </c>
      <c r="H1494" t="s">
        <v>8</v>
      </c>
      <c r="I1494" t="s">
        <v>58</v>
      </c>
      <c r="J1494" t="s">
        <v>18</v>
      </c>
      <c r="K1494" t="s">
        <v>552</v>
      </c>
      <c r="L1494" t="s">
        <v>554</v>
      </c>
    </row>
    <row r="1495" spans="1:12" x14ac:dyDescent="0.3">
      <c r="A1495" t="s">
        <v>298</v>
      </c>
      <c r="B1495">
        <v>571</v>
      </c>
      <c r="C1495">
        <v>108</v>
      </c>
      <c r="D1495">
        <v>6852</v>
      </c>
      <c r="E1495">
        <f>SUM(Details[[#This Row],[Actual_Cost]],Details[[#This Row],[Profit]])</f>
        <v>6960</v>
      </c>
      <c r="F1495">
        <v>12</v>
      </c>
      <c r="G1495">
        <f>PRODUCT(Details[[#This Row],[Selling_Cost]],Details[[#This Row],[Quantity]])</f>
        <v>83520</v>
      </c>
      <c r="H1495" t="s">
        <v>8</v>
      </c>
      <c r="I1495" t="s">
        <v>29</v>
      </c>
      <c r="J1495" t="s">
        <v>42</v>
      </c>
      <c r="K1495" t="s">
        <v>539</v>
      </c>
      <c r="L1495" t="s">
        <v>546</v>
      </c>
    </row>
    <row r="1496" spans="1:12" x14ac:dyDescent="0.3">
      <c r="A1496" t="s">
        <v>209</v>
      </c>
      <c r="B1496">
        <v>2830</v>
      </c>
      <c r="C1496">
        <v>-1981</v>
      </c>
      <c r="D1496">
        <v>36790</v>
      </c>
      <c r="E1496">
        <f>SUM(Details[[#This Row],[Actual_Cost]],Details[[#This Row],[Profit]])</f>
        <v>34809</v>
      </c>
      <c r="F1496">
        <v>13</v>
      </c>
      <c r="G1496">
        <f>PRODUCT(Details[[#This Row],[Selling_Cost]],Details[[#This Row],[Quantity]])</f>
        <v>452517</v>
      </c>
      <c r="H1496" t="s">
        <v>16</v>
      </c>
      <c r="I1496" t="s">
        <v>17</v>
      </c>
      <c r="J1496" t="s">
        <v>125</v>
      </c>
      <c r="K1496" t="s">
        <v>561</v>
      </c>
      <c r="L1496" t="s">
        <v>563</v>
      </c>
    </row>
    <row r="1497" spans="1:12" x14ac:dyDescent="0.3">
      <c r="A1497" t="s">
        <v>531</v>
      </c>
      <c r="B1497">
        <v>585</v>
      </c>
      <c r="C1497">
        <v>175</v>
      </c>
      <c r="D1497">
        <v>7605</v>
      </c>
      <c r="E1497">
        <f>SUM(Details[[#This Row],[Actual_Cost]],Details[[#This Row],[Profit]])</f>
        <v>7780</v>
      </c>
      <c r="F1497">
        <v>13</v>
      </c>
      <c r="G1497">
        <f>PRODUCT(Details[[#This Row],[Selling_Cost]],Details[[#This Row],[Quantity]])</f>
        <v>101140</v>
      </c>
      <c r="H1497" t="s">
        <v>8</v>
      </c>
      <c r="I1497" t="s">
        <v>46</v>
      </c>
      <c r="J1497" t="s">
        <v>10</v>
      </c>
      <c r="K1497" t="s">
        <v>539</v>
      </c>
      <c r="L1497" t="s">
        <v>544</v>
      </c>
    </row>
    <row r="1498" spans="1:12" x14ac:dyDescent="0.3">
      <c r="A1498" t="s">
        <v>163</v>
      </c>
      <c r="B1498">
        <v>1499</v>
      </c>
      <c r="C1498">
        <v>239</v>
      </c>
      <c r="D1498">
        <v>19487</v>
      </c>
      <c r="E1498">
        <f>SUM(Details[[#This Row],[Actual_Cost]],Details[[#This Row],[Profit]])</f>
        <v>19726</v>
      </c>
      <c r="F1498">
        <v>13</v>
      </c>
      <c r="G1498">
        <f>PRODUCT(Details[[#This Row],[Selling_Cost]],Details[[#This Row],[Quantity]])</f>
        <v>256438</v>
      </c>
      <c r="H1498" t="s">
        <v>8</v>
      </c>
      <c r="I1498" t="s">
        <v>9</v>
      </c>
      <c r="J1498" t="s">
        <v>27</v>
      </c>
      <c r="K1498" t="s">
        <v>607</v>
      </c>
      <c r="L1498" t="s">
        <v>565</v>
      </c>
    </row>
    <row r="1499" spans="1:12" x14ac:dyDescent="0.3">
      <c r="A1499" t="s">
        <v>298</v>
      </c>
      <c r="B1499">
        <v>4141</v>
      </c>
      <c r="C1499">
        <v>1698</v>
      </c>
      <c r="D1499">
        <v>53833</v>
      </c>
      <c r="E1499">
        <f>SUM(Details[[#This Row],[Actual_Cost]],Details[[#This Row],[Profit]])</f>
        <v>55531</v>
      </c>
      <c r="F1499">
        <v>13</v>
      </c>
      <c r="G1499">
        <f>PRODUCT(Details[[#This Row],[Selling_Cost]],Details[[#This Row],[Quantity]])</f>
        <v>721903</v>
      </c>
      <c r="H1499" t="s">
        <v>13</v>
      </c>
      <c r="I1499" t="s">
        <v>20</v>
      </c>
      <c r="J1499" t="s">
        <v>10</v>
      </c>
      <c r="K1499" t="s">
        <v>539</v>
      </c>
      <c r="L1499" t="s">
        <v>546</v>
      </c>
    </row>
    <row r="1500" spans="1:12" x14ac:dyDescent="0.3">
      <c r="A1500" t="s">
        <v>118</v>
      </c>
      <c r="B1500">
        <v>213</v>
      </c>
      <c r="C1500">
        <v>4</v>
      </c>
      <c r="D1500">
        <v>2982</v>
      </c>
      <c r="E1500">
        <f>SUM(Details[[#This Row],[Actual_Cost]],Details[[#This Row],[Profit]])</f>
        <v>2986</v>
      </c>
      <c r="F1500">
        <v>14</v>
      </c>
      <c r="G1500">
        <f>PRODUCT(Details[[#This Row],[Selling_Cost]],Details[[#This Row],[Quantity]])</f>
        <v>41804</v>
      </c>
      <c r="H1500" t="s">
        <v>8</v>
      </c>
      <c r="I1500" t="s">
        <v>61</v>
      </c>
      <c r="J1500" t="s">
        <v>10</v>
      </c>
      <c r="K1500" t="s">
        <v>539</v>
      </c>
      <c r="L1500" t="s">
        <v>541</v>
      </c>
    </row>
    <row r="1501" spans="1:12" x14ac:dyDescent="0.3">
      <c r="A1501" t="s">
        <v>118</v>
      </c>
      <c r="B1501">
        <v>5729</v>
      </c>
      <c r="C1501">
        <v>64</v>
      </c>
      <c r="D1501">
        <v>80206</v>
      </c>
      <c r="E1501">
        <f>SUM(Details[[#This Row],[Actual_Cost]],Details[[#This Row],[Profit]])</f>
        <v>80270</v>
      </c>
      <c r="F1501">
        <v>14</v>
      </c>
      <c r="G1501">
        <f>PRODUCT(Details[[#This Row],[Selling_Cost]],Details[[#This Row],[Quantity]])</f>
        <v>1123780</v>
      </c>
      <c r="H1501" t="s">
        <v>16</v>
      </c>
      <c r="I1501" t="s">
        <v>23</v>
      </c>
      <c r="J1501" t="s">
        <v>125</v>
      </c>
      <c r="K1501" t="s">
        <v>539</v>
      </c>
      <c r="L1501" t="s">
        <v>541</v>
      </c>
    </row>
  </sheetData>
  <sortState xmlns:xlrd2="http://schemas.microsoft.com/office/spreadsheetml/2017/richdata2" ref="AE2:AE6">
    <sortCondition ref="AE2:AE6"/>
  </sortState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0DF7-1149-4C3B-A779-8677B28AA7E3}">
  <dimension ref="A4:L85"/>
  <sheetViews>
    <sheetView tabSelected="1" zoomScale="60" zoomScaleNormal="55" workbookViewId="0">
      <selection activeCell="M4" sqref="M4:XFD4"/>
    </sheetView>
  </sheetViews>
  <sheetFormatPr defaultRowHeight="14.4" x14ac:dyDescent="0.3"/>
  <cols>
    <col min="1" max="1" width="15.77734375" style="6" customWidth="1"/>
    <col min="2" max="2" width="12.109375" style="6" bestFit="1" customWidth="1"/>
    <col min="3" max="3" width="11.109375" style="6" customWidth="1"/>
    <col min="4" max="4" width="18.88671875" style="6" customWidth="1"/>
    <col min="5" max="6" width="8.88671875" style="6"/>
    <col min="7" max="7" width="10.109375" style="6" customWidth="1"/>
    <col min="8" max="8" width="8.44140625" style="6" customWidth="1"/>
    <col min="9" max="9" width="14.6640625" style="6" customWidth="1"/>
    <col min="10" max="10" width="12.5546875" style="6" customWidth="1"/>
    <col min="11" max="11" width="8.88671875" style="6"/>
    <col min="12" max="12" width="17.33203125" style="6" bestFit="1" customWidth="1"/>
    <col min="13" max="13" width="12.109375" style="6" bestFit="1" customWidth="1"/>
    <col min="14" max="23" width="8.88671875" style="6"/>
    <col min="24" max="24" width="18.21875" style="6" bestFit="1" customWidth="1"/>
    <col min="25" max="25" width="16" style="6" bestFit="1" customWidth="1"/>
    <col min="26" max="16384" width="8.88671875" style="6"/>
  </cols>
  <sheetData>
    <row r="4" spans="1:12" ht="25.8" customHeight="1" x14ac:dyDescent="0.3">
      <c r="A4" s="2"/>
      <c r="B4" s="7" t="s">
        <v>936</v>
      </c>
      <c r="C4" s="7"/>
      <c r="D4" s="5" t="s">
        <v>934</v>
      </c>
      <c r="E4" s="7" t="s">
        <v>937</v>
      </c>
      <c r="F4" s="7"/>
      <c r="G4" s="7" t="s">
        <v>943</v>
      </c>
      <c r="H4" s="7"/>
      <c r="I4" s="5" t="s">
        <v>944</v>
      </c>
      <c r="J4" s="8" t="s">
        <v>945</v>
      </c>
      <c r="K4" s="8"/>
      <c r="L4" s="8"/>
    </row>
    <row r="5" spans="1:12" x14ac:dyDescent="0.3">
      <c r="B5" s="7">
        <v>14303928</v>
      </c>
      <c r="C5" s="7"/>
      <c r="D5" s="7">
        <v>36963</v>
      </c>
      <c r="E5" s="9">
        <v>5615</v>
      </c>
      <c r="F5" s="9"/>
      <c r="G5" s="10">
        <v>2.5999999999999999E-3</v>
      </c>
      <c r="H5" s="10"/>
      <c r="I5" s="7">
        <v>9535.9519999999993</v>
      </c>
      <c r="J5" s="8" t="s">
        <v>946</v>
      </c>
      <c r="K5" s="8"/>
      <c r="L5" s="8"/>
    </row>
    <row r="6" spans="1:12" x14ac:dyDescent="0.3">
      <c r="B6" s="7"/>
      <c r="C6" s="7"/>
      <c r="D6" s="7"/>
      <c r="E6" s="9"/>
      <c r="F6" s="9"/>
      <c r="G6" s="10"/>
      <c r="H6" s="10"/>
      <c r="I6" s="7"/>
      <c r="J6" s="8"/>
      <c r="K6" s="8"/>
      <c r="L6" s="8"/>
    </row>
    <row r="12" spans="1:12" ht="21" customHeight="1" x14ac:dyDescent="0.3"/>
    <row r="46" ht="25.8" customHeight="1" x14ac:dyDescent="0.3"/>
    <row r="47" ht="14.4" customHeight="1" x14ac:dyDescent="0.3"/>
    <row r="48" ht="14.4" customHeight="1" x14ac:dyDescent="0.3"/>
    <row r="77" ht="14.4" customHeight="1" x14ac:dyDescent="0.3"/>
    <row r="85" ht="14.4" customHeight="1" x14ac:dyDescent="0.3"/>
  </sheetData>
  <mergeCells count="15">
    <mergeCell ref="A1:XFD3"/>
    <mergeCell ref="M4:XFD4"/>
    <mergeCell ref="A5:A6"/>
    <mergeCell ref="M5:XFD6"/>
    <mergeCell ref="A7:XFD1048576"/>
    <mergeCell ref="B4:C4"/>
    <mergeCell ref="E4:F4"/>
    <mergeCell ref="G4:H4"/>
    <mergeCell ref="J4:L4"/>
    <mergeCell ref="B5:C6"/>
    <mergeCell ref="D5:D6"/>
    <mergeCell ref="E5:F6"/>
    <mergeCell ref="G5:H6"/>
    <mergeCell ref="I5:I6"/>
    <mergeCell ref="J5:L6"/>
  </mergeCells>
  <pageMargins left="0.7" right="0.7" top="0.75" bottom="0.75" header="0.3" footer="0.3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C6AA9F-8EAB-4E85-B190-471EC0A5F6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Details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Vasudeva</dc:creator>
  <cp:lastModifiedBy>Yash Vasudeva</cp:lastModifiedBy>
  <cp:lastPrinted>2026-01-09T10:28:12Z</cp:lastPrinted>
  <dcterms:created xsi:type="dcterms:W3CDTF">2015-06-05T18:17:20Z</dcterms:created>
  <dcterms:modified xsi:type="dcterms:W3CDTF">2026-01-09T10:28:32Z</dcterms:modified>
</cp:coreProperties>
</file>